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hul\Desktop\BIXINSIGHTS ASSIGENMENT\"/>
    </mc:Choice>
  </mc:AlternateContent>
  <bookViews>
    <workbookView xWindow="0" yWindow="0" windowWidth="23040" windowHeight="9072" tabRatio="832" activeTab="2"/>
  </bookViews>
  <sheets>
    <sheet name="Questions &amp; Solutions" sheetId="16" r:id="rId1"/>
    <sheet name="Avg_Patients  &amp; Dispenses" sheetId="1" r:id="rId2"/>
    <sheet name="Q2_Top_5_Specialties" sheetId="2" r:id="rId3"/>
    <sheet name="Q3_Rx_Duration_Bucket" sheetId="4" r:id="rId4"/>
    <sheet name="Q4_Avg_Enrollment_By_Rx_Bucket" sheetId="5" r:id="rId5"/>
    <sheet name="Q5_Avg_NPS_2021_vs_2022" sheetId="11" r:id="rId6"/>
    <sheet name="Q6_2021_vs_2022" sheetId="8" r:id="rId7"/>
  </sheets>
  <definedNames>
    <definedName name="_xlcn.WorksheetConnection_CaseStudyv1.xlsxTable1" hidden="1">Table1[]</definedName>
  </definedNames>
  <calcPr calcId="191029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ase Study v1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1" l="1"/>
  <c r="B2" i="11"/>
  <c r="C4" i="8"/>
  <c r="B4" i="8"/>
  <c r="C3" i="8"/>
  <c r="B3" i="8"/>
  <c r="C2" i="8"/>
  <c r="B2" i="8"/>
  <c r="E240" i="1" l="1"/>
  <c r="B240" i="1" s="1"/>
  <c r="E114" i="1"/>
  <c r="B114" i="1" s="1"/>
  <c r="E176" i="1"/>
  <c r="B176" i="1" s="1"/>
  <c r="E195" i="1"/>
  <c r="B195" i="1" s="1"/>
  <c r="E296" i="1"/>
  <c r="B296" i="1" s="1"/>
  <c r="E94" i="1"/>
  <c r="B94" i="1" s="1"/>
  <c r="E201" i="1"/>
  <c r="B201" i="1" s="1"/>
  <c r="E43" i="1"/>
  <c r="B43" i="1" s="1"/>
  <c r="E202" i="1"/>
  <c r="B202" i="1" s="1"/>
  <c r="E70" i="1"/>
  <c r="B70" i="1" s="1"/>
  <c r="E12" i="1"/>
  <c r="B12" i="1" s="1"/>
  <c r="E107" i="1"/>
  <c r="B107" i="1" s="1"/>
  <c r="E196" i="1"/>
  <c r="B196" i="1" s="1"/>
  <c r="E367" i="1"/>
  <c r="B367" i="1" s="1"/>
  <c r="E374" i="1"/>
  <c r="B374" i="1" s="1"/>
  <c r="E289" i="1"/>
  <c r="B289" i="1" s="1"/>
  <c r="E18" i="1"/>
  <c r="B18" i="1" s="1"/>
  <c r="E163" i="1"/>
  <c r="B163" i="1" s="1"/>
  <c r="E155" i="1"/>
  <c r="B155" i="1" s="1"/>
  <c r="E177" i="1"/>
  <c r="B177" i="1" s="1"/>
  <c r="E156" i="1"/>
  <c r="B156" i="1" s="1"/>
  <c r="E340" i="1"/>
  <c r="B340" i="1" s="1"/>
  <c r="E336" i="1"/>
  <c r="B336" i="1" s="1"/>
  <c r="E115" i="1"/>
  <c r="B115" i="1" s="1"/>
  <c r="E358" i="1"/>
  <c r="B358" i="1" s="1"/>
  <c r="E227" i="1"/>
  <c r="B227" i="1" s="1"/>
  <c r="E322" i="1"/>
  <c r="B322" i="1" s="1"/>
  <c r="E116" i="1"/>
  <c r="B116" i="1" s="1"/>
  <c r="E386" i="1"/>
  <c r="B386" i="1" s="1"/>
  <c r="E348" i="1"/>
  <c r="B348" i="1" s="1"/>
  <c r="E327" i="1"/>
  <c r="B327" i="1" s="1"/>
  <c r="E337" i="1"/>
  <c r="B337" i="1" s="1"/>
  <c r="E26" i="1"/>
  <c r="B26" i="1" s="1"/>
  <c r="E303" i="1"/>
  <c r="B303" i="1" s="1"/>
  <c r="E203" i="1"/>
  <c r="B203" i="1" s="1"/>
  <c r="E117" i="1"/>
  <c r="B117" i="1" s="1"/>
  <c r="E95" i="1"/>
  <c r="B95" i="1" s="1"/>
  <c r="E237" i="1"/>
  <c r="B237" i="1" s="1"/>
  <c r="E197" i="1"/>
  <c r="B197" i="1" s="1"/>
  <c r="E214" i="1"/>
  <c r="B214" i="1" s="1"/>
  <c r="E191" i="1"/>
  <c r="B191" i="1" s="1"/>
  <c r="E204" i="1"/>
  <c r="B204" i="1" s="1"/>
  <c r="E309" i="1"/>
  <c r="B309" i="1" s="1"/>
  <c r="E132" i="1"/>
  <c r="B132" i="1" s="1"/>
  <c r="E228" i="1"/>
  <c r="B228" i="1" s="1"/>
  <c r="E387" i="1"/>
  <c r="B387" i="1" s="1"/>
  <c r="E256" i="1"/>
  <c r="B256" i="1" s="1"/>
  <c r="E315" i="1"/>
  <c r="B315" i="1" s="1"/>
  <c r="E56" i="1"/>
  <c r="B56" i="1" s="1"/>
  <c r="E37" i="1"/>
  <c r="B37" i="1" s="1"/>
  <c r="E178" i="1"/>
  <c r="B178" i="1" s="1"/>
  <c r="E164" i="1"/>
  <c r="B164" i="1" s="1"/>
  <c r="E123" i="1"/>
  <c r="B123" i="1" s="1"/>
  <c r="E76" i="1"/>
  <c r="B76" i="1" s="1"/>
  <c r="E77" i="1"/>
  <c r="B77" i="1" s="1"/>
  <c r="E2" i="1"/>
  <c r="B2" i="1" s="1"/>
  <c r="E370" i="1"/>
  <c r="B370" i="1" s="1"/>
  <c r="E96" i="1"/>
  <c r="B96" i="1" s="1"/>
  <c r="E280" i="1"/>
  <c r="B280" i="1" s="1"/>
  <c r="E209" i="1"/>
  <c r="B209" i="1" s="1"/>
  <c r="E185" i="1"/>
  <c r="B185" i="1" s="1"/>
  <c r="E333" i="1"/>
  <c r="B333" i="1" s="1"/>
  <c r="E133" i="1"/>
  <c r="B133" i="1" s="1"/>
  <c r="E186" i="1"/>
  <c r="B186" i="1" s="1"/>
  <c r="E267" i="1"/>
  <c r="B267" i="1" s="1"/>
  <c r="E349" i="1"/>
  <c r="B349" i="1" s="1"/>
  <c r="E136" i="1"/>
  <c r="B136" i="1" s="1"/>
  <c r="E328" i="1"/>
  <c r="B328" i="1" s="1"/>
  <c r="E97" i="1"/>
  <c r="B97" i="1" s="1"/>
  <c r="E271" i="1"/>
  <c r="B271" i="1" s="1"/>
  <c r="E297" i="1"/>
  <c r="B297" i="1" s="1"/>
  <c r="E234" i="1"/>
  <c r="B234" i="1" s="1"/>
  <c r="E71" i="1"/>
  <c r="B71" i="1" s="1"/>
  <c r="E229" i="1"/>
  <c r="B229" i="1" s="1"/>
  <c r="E62" i="1"/>
  <c r="B62" i="1" s="1"/>
  <c r="E63" i="1"/>
  <c r="B63" i="1" s="1"/>
  <c r="E304" i="1"/>
  <c r="B304" i="1" s="1"/>
  <c r="E221" i="1"/>
  <c r="B221" i="1" s="1"/>
  <c r="E27" i="1"/>
  <c r="B27" i="1" s="1"/>
  <c r="E192" i="1"/>
  <c r="B192" i="1" s="1"/>
  <c r="E353" i="1"/>
  <c r="B353" i="1" s="1"/>
  <c r="E28" i="1"/>
  <c r="B28" i="1" s="1"/>
  <c r="E262" i="1"/>
  <c r="B262" i="1" s="1"/>
  <c r="E38" i="1"/>
  <c r="B38" i="1" s="1"/>
  <c r="E29" i="1"/>
  <c r="B29" i="1" s="1"/>
  <c r="E248" i="1"/>
  <c r="B248" i="1" s="1"/>
  <c r="E230" i="1"/>
  <c r="B230" i="1" s="1"/>
  <c r="E64" i="1"/>
  <c r="B64" i="1" s="1"/>
  <c r="E78" i="1"/>
  <c r="B78" i="1" s="1"/>
  <c r="E329" i="1"/>
  <c r="B329" i="1" s="1"/>
  <c r="E263" i="1"/>
  <c r="B263" i="1" s="1"/>
  <c r="E222" i="1"/>
  <c r="B222" i="1" s="1"/>
  <c r="E53" i="1"/>
  <c r="B53" i="1" s="1"/>
  <c r="E108" i="1"/>
  <c r="B108" i="1" s="1"/>
  <c r="E338" i="1"/>
  <c r="B338" i="1" s="1"/>
  <c r="E79" i="1"/>
  <c r="B79" i="1" s="1"/>
  <c r="E39" i="1"/>
  <c r="B39" i="1" s="1"/>
  <c r="E257" i="1"/>
  <c r="B257" i="1" s="1"/>
  <c r="E378" i="1"/>
  <c r="B378" i="1" s="1"/>
  <c r="E124" i="1"/>
  <c r="B124" i="1" s="1"/>
  <c r="E125" i="1"/>
  <c r="B125" i="1" s="1"/>
  <c r="E19" i="1"/>
  <c r="B19" i="1" s="1"/>
  <c r="E379" i="1"/>
  <c r="B379" i="1" s="1"/>
  <c r="E330" i="1"/>
  <c r="B330" i="1" s="1"/>
  <c r="E310" i="1"/>
  <c r="B310" i="1" s="1"/>
  <c r="E241" i="1"/>
  <c r="B241" i="1" s="1"/>
  <c r="E80" i="1"/>
  <c r="B80" i="1" s="1"/>
  <c r="E165" i="1"/>
  <c r="B165" i="1" s="1"/>
  <c r="E34" i="1"/>
  <c r="B34" i="1" s="1"/>
  <c r="E292" i="1"/>
  <c r="B292" i="1" s="1"/>
  <c r="E179" i="1"/>
  <c r="B179" i="1" s="1"/>
  <c r="E316" i="1"/>
  <c r="B316" i="1" s="1"/>
  <c r="E140" i="1"/>
  <c r="B140" i="1" s="1"/>
  <c r="E198" i="1"/>
  <c r="B198" i="1" s="1"/>
  <c r="E172" i="1"/>
  <c r="B172" i="1" s="1"/>
  <c r="E98" i="1"/>
  <c r="B98" i="1" s="1"/>
  <c r="E126" i="1"/>
  <c r="B126" i="1" s="1"/>
  <c r="E380" i="1"/>
  <c r="B380" i="1" s="1"/>
  <c r="E127" i="1"/>
  <c r="B127" i="1" s="1"/>
  <c r="E272" i="1"/>
  <c r="B272" i="1" s="1"/>
  <c r="E298" i="1"/>
  <c r="B298" i="1" s="1"/>
  <c r="E99" i="1"/>
  <c r="B99" i="1" s="1"/>
  <c r="E57" i="1"/>
  <c r="B57" i="1" s="1"/>
  <c r="E359" i="1"/>
  <c r="B359" i="1" s="1"/>
  <c r="E13" i="1"/>
  <c r="B13" i="1" s="1"/>
  <c r="E118" i="1"/>
  <c r="B118" i="1" s="1"/>
  <c r="E381" i="1"/>
  <c r="B381" i="1" s="1"/>
  <c r="E235" i="1"/>
  <c r="B235" i="1" s="1"/>
  <c r="E30" i="1"/>
  <c r="B30" i="1" s="1"/>
  <c r="E264" i="1"/>
  <c r="B264" i="1" s="1"/>
  <c r="E20" i="1"/>
  <c r="B20" i="1" s="1"/>
  <c r="E293" i="1"/>
  <c r="B293" i="1" s="1"/>
  <c r="E331" i="1"/>
  <c r="B331" i="1" s="1"/>
  <c r="E354" i="1"/>
  <c r="B354" i="1" s="1"/>
  <c r="E311" i="1"/>
  <c r="B311" i="1" s="1"/>
  <c r="E334" i="1"/>
  <c r="B334" i="1" s="1"/>
  <c r="E109" i="1"/>
  <c r="B109" i="1" s="1"/>
  <c r="E247" i="1"/>
  <c r="B247" i="1" s="1"/>
  <c r="E382" i="1"/>
  <c r="B382" i="1" s="1"/>
  <c r="E375" i="1"/>
  <c r="B375" i="1" s="1"/>
  <c r="E383" i="1"/>
  <c r="B383" i="1" s="1"/>
  <c r="E360" i="1"/>
  <c r="B360" i="1" s="1"/>
  <c r="E341" i="1"/>
  <c r="B341" i="1" s="1"/>
  <c r="E252" i="1"/>
  <c r="B252" i="1" s="1"/>
  <c r="E193" i="1"/>
  <c r="B193" i="1" s="1"/>
  <c r="E342" i="1"/>
  <c r="B342" i="1" s="1"/>
  <c r="E273" i="1"/>
  <c r="B273" i="1" s="1"/>
  <c r="E31" i="1"/>
  <c r="B31" i="1" s="1"/>
  <c r="E128" i="1"/>
  <c r="B128" i="1" s="1"/>
  <c r="E100" i="1"/>
  <c r="B100" i="1" s="1"/>
  <c r="E317" i="1"/>
  <c r="B317" i="1" s="1"/>
  <c r="E54" i="1"/>
  <c r="B54" i="1" s="1"/>
  <c r="E335" i="1"/>
  <c r="B335" i="1" s="1"/>
  <c r="E194" i="1"/>
  <c r="B194" i="1" s="1"/>
  <c r="E350" i="1"/>
  <c r="B350" i="1" s="1"/>
  <c r="E258" i="1"/>
  <c r="B258" i="1" s="1"/>
  <c r="E81" i="1"/>
  <c r="B81" i="1" s="1"/>
  <c r="E376" i="1"/>
  <c r="B376" i="1" s="1"/>
  <c r="E46" i="1"/>
  <c r="B46" i="1" s="1"/>
  <c r="E101" i="1"/>
  <c r="B101" i="1" s="1"/>
  <c r="E249" i="1"/>
  <c r="B249" i="1" s="1"/>
  <c r="E15" i="1"/>
  <c r="B15" i="1" s="1"/>
  <c r="E72" i="1"/>
  <c r="B72" i="1" s="1"/>
  <c r="E47" i="1"/>
  <c r="B47" i="1" s="1"/>
  <c r="E137" i="1"/>
  <c r="B137" i="1" s="1"/>
  <c r="E388" i="1"/>
  <c r="B388" i="1" s="1"/>
  <c r="E323" i="1"/>
  <c r="B323" i="1" s="1"/>
  <c r="E274" i="1"/>
  <c r="B274" i="1" s="1"/>
  <c r="E281" i="1"/>
  <c r="B281" i="1" s="1"/>
  <c r="E102" i="1"/>
  <c r="B102" i="1" s="1"/>
  <c r="E250" i="1"/>
  <c r="B250" i="1" s="1"/>
  <c r="E368" i="1"/>
  <c r="B368" i="1" s="1"/>
  <c r="E371" i="1"/>
  <c r="B371" i="1" s="1"/>
  <c r="E361" i="1"/>
  <c r="B361" i="1" s="1"/>
  <c r="E372" i="1"/>
  <c r="B372" i="1" s="1"/>
  <c r="E157" i="1"/>
  <c r="B157" i="1" s="1"/>
  <c r="E275" i="1"/>
  <c r="B275" i="1" s="1"/>
  <c r="E16" i="1"/>
  <c r="B16" i="1" s="1"/>
  <c r="E150" i="1"/>
  <c r="B150" i="1" s="1"/>
  <c r="E180" i="1"/>
  <c r="B180" i="1" s="1"/>
  <c r="E141" i="1"/>
  <c r="B141" i="1" s="1"/>
  <c r="E90" i="1"/>
  <c r="B90" i="1" s="1"/>
  <c r="E151" i="1"/>
  <c r="B151" i="1" s="1"/>
  <c r="E21" i="1"/>
  <c r="B21" i="1" s="1"/>
  <c r="E40" i="1"/>
  <c r="B40" i="1" s="1"/>
  <c r="E3" i="1"/>
  <c r="B3" i="1" s="1"/>
  <c r="E4" i="1"/>
  <c r="B4" i="1" s="1"/>
  <c r="E187" i="1"/>
  <c r="B187" i="1" s="1"/>
  <c r="E305" i="1"/>
  <c r="B305" i="1" s="1"/>
  <c r="E87" i="1"/>
  <c r="B87" i="1" s="1"/>
  <c r="E265" i="1"/>
  <c r="B265" i="1" s="1"/>
  <c r="E294" i="1"/>
  <c r="B294" i="1" s="1"/>
  <c r="E215" i="1"/>
  <c r="B215" i="1" s="1"/>
  <c r="E119" i="1"/>
  <c r="B119" i="1" s="1"/>
  <c r="E306" i="1"/>
  <c r="B306" i="1" s="1"/>
  <c r="E253" i="1"/>
  <c r="B253" i="1" s="1"/>
  <c r="E5" i="1"/>
  <c r="B5" i="1" s="1"/>
  <c r="E362" i="1"/>
  <c r="B362" i="1" s="1"/>
  <c r="E259" i="1"/>
  <c r="B259" i="1" s="1"/>
  <c r="E22" i="1"/>
  <c r="B22" i="1" s="1"/>
  <c r="E384" i="1"/>
  <c r="B384" i="1" s="1"/>
  <c r="E389" i="1"/>
  <c r="B389" i="1" s="1"/>
  <c r="E14" i="1"/>
  <c r="B14" i="1" s="1"/>
  <c r="E295" i="1"/>
  <c r="B295" i="1" s="1"/>
  <c r="E299" i="1"/>
  <c r="B299" i="1" s="1"/>
  <c r="E307" i="1"/>
  <c r="B307" i="1" s="1"/>
  <c r="E181" i="1"/>
  <c r="B181" i="1" s="1"/>
  <c r="E82" i="1"/>
  <c r="B82" i="1" s="1"/>
  <c r="E324" i="1"/>
  <c r="B324" i="1" s="1"/>
  <c r="E152" i="1"/>
  <c r="B152" i="1" s="1"/>
  <c r="E103" i="1"/>
  <c r="B103" i="1" s="1"/>
  <c r="E308" i="1"/>
  <c r="B308" i="1" s="1"/>
  <c r="E282" i="1"/>
  <c r="B282" i="1" s="1"/>
  <c r="E158" i="1"/>
  <c r="B158" i="1" s="1"/>
  <c r="E73" i="1"/>
  <c r="B73" i="1" s="1"/>
  <c r="E129" i="1"/>
  <c r="B129" i="1" s="1"/>
  <c r="E283" i="1"/>
  <c r="B283" i="1" s="1"/>
  <c r="E120" i="1"/>
  <c r="B120" i="1" s="1"/>
  <c r="E35" i="1"/>
  <c r="B35" i="1" s="1"/>
  <c r="E23" i="1"/>
  <c r="B23" i="1" s="1"/>
  <c r="E159" i="1"/>
  <c r="B159" i="1" s="1"/>
  <c r="E268" i="1"/>
  <c r="B268" i="1" s="1"/>
  <c r="E216" i="1"/>
  <c r="B216" i="1" s="1"/>
  <c r="E242" i="1"/>
  <c r="B242" i="1" s="1"/>
  <c r="E74" i="1"/>
  <c r="B74" i="1" s="1"/>
  <c r="E243" i="1"/>
  <c r="B243" i="1" s="1"/>
  <c r="E182" i="1"/>
  <c r="B182" i="1" s="1"/>
  <c r="E65" i="1"/>
  <c r="B65" i="1" s="1"/>
  <c r="E36" i="1"/>
  <c r="B36" i="1" s="1"/>
  <c r="E44" i="1"/>
  <c r="B44" i="1" s="1"/>
  <c r="E66" i="1"/>
  <c r="B66" i="1" s="1"/>
  <c r="E6" i="1"/>
  <c r="B6" i="1" s="1"/>
  <c r="E58" i="1"/>
  <c r="B58" i="1" s="1"/>
  <c r="E83" i="1"/>
  <c r="B83" i="1" s="1"/>
  <c r="E91" i="1"/>
  <c r="B91" i="1" s="1"/>
  <c r="E205" i="1"/>
  <c r="B205" i="1" s="1"/>
  <c r="E144" i="1"/>
  <c r="B144" i="1" s="1"/>
  <c r="E50" i="1"/>
  <c r="B50" i="1" s="1"/>
  <c r="E284" i="1"/>
  <c r="B284" i="1" s="1"/>
  <c r="E355" i="1"/>
  <c r="B355" i="1" s="1"/>
  <c r="E363" i="1"/>
  <c r="B363" i="1" s="1"/>
  <c r="E7" i="1"/>
  <c r="B7" i="1" s="1"/>
  <c r="E153" i="1"/>
  <c r="B153" i="1" s="1"/>
  <c r="E285" i="1"/>
  <c r="B285" i="1" s="1"/>
  <c r="E104" i="1"/>
  <c r="B104" i="1" s="1"/>
  <c r="E286" i="1"/>
  <c r="B286" i="1" s="1"/>
  <c r="E318" i="1"/>
  <c r="B318" i="1" s="1"/>
  <c r="E88" i="1"/>
  <c r="B88" i="1" s="1"/>
  <c r="E300" i="1"/>
  <c r="B300" i="1" s="1"/>
  <c r="E210" i="1"/>
  <c r="B210" i="1" s="1"/>
  <c r="E145" i="1"/>
  <c r="B145" i="1" s="1"/>
  <c r="E332" i="1"/>
  <c r="B332" i="1" s="1"/>
  <c r="E356" i="1"/>
  <c r="B356" i="1" s="1"/>
  <c r="E183" i="1"/>
  <c r="B183" i="1" s="1"/>
  <c r="E166" i="1"/>
  <c r="B166" i="1" s="1"/>
  <c r="E89" i="1"/>
  <c r="B89" i="1" s="1"/>
  <c r="E369" i="1"/>
  <c r="B369" i="1" s="1"/>
  <c r="E199" i="1"/>
  <c r="B199" i="1" s="1"/>
  <c r="E244" i="1"/>
  <c r="B244" i="1" s="1"/>
  <c r="E364" i="1"/>
  <c r="B364" i="1" s="1"/>
  <c r="E105" i="1"/>
  <c r="B105" i="1" s="1"/>
  <c r="E206" i="1"/>
  <c r="B206" i="1" s="1"/>
  <c r="E8" i="1"/>
  <c r="B8" i="1" s="1"/>
  <c r="E254" i="1"/>
  <c r="B254" i="1" s="1"/>
  <c r="E301" i="1"/>
  <c r="B301" i="1" s="1"/>
  <c r="E24" i="1"/>
  <c r="B24" i="1" s="1"/>
  <c r="E251" i="1"/>
  <c r="B251" i="1" s="1"/>
  <c r="E134" i="1"/>
  <c r="B134" i="1" s="1"/>
  <c r="E377" i="1"/>
  <c r="B377" i="1" s="1"/>
  <c r="E260" i="1"/>
  <c r="B260" i="1" s="1"/>
  <c r="E32" i="1"/>
  <c r="B32" i="1" s="1"/>
  <c r="E121" i="1"/>
  <c r="B121" i="1" s="1"/>
  <c r="E211" i="1"/>
  <c r="B211" i="1" s="1"/>
  <c r="E9" i="1"/>
  <c r="B9" i="1" s="1"/>
  <c r="E84" i="1"/>
  <c r="B84" i="1" s="1"/>
  <c r="E92" i="1"/>
  <c r="B92" i="1" s="1"/>
  <c r="E146" i="1"/>
  <c r="B146" i="1" s="1"/>
  <c r="E312" i="1"/>
  <c r="B312" i="1" s="1"/>
  <c r="E212" i="1"/>
  <c r="B212" i="1" s="1"/>
  <c r="E45" i="1"/>
  <c r="B45" i="1" s="1"/>
  <c r="E51" i="1"/>
  <c r="B51" i="1" s="1"/>
  <c r="E319" i="1"/>
  <c r="B319" i="1" s="1"/>
  <c r="E48" i="1"/>
  <c r="B48" i="1" s="1"/>
  <c r="E290" i="1"/>
  <c r="B290" i="1" s="1"/>
  <c r="E17" i="1"/>
  <c r="B17" i="1" s="1"/>
  <c r="E49" i="1"/>
  <c r="B49" i="1" s="1"/>
  <c r="E231" i="1"/>
  <c r="B231" i="1" s="1"/>
  <c r="E93" i="1"/>
  <c r="B93" i="1" s="1"/>
  <c r="E365" i="1"/>
  <c r="B365" i="1" s="1"/>
  <c r="E245" i="1"/>
  <c r="B245" i="1" s="1"/>
  <c r="E232" i="1"/>
  <c r="B232" i="1" s="1"/>
  <c r="E167" i="1"/>
  <c r="B167" i="1" s="1"/>
  <c r="E173" i="1"/>
  <c r="B173" i="1" s="1"/>
  <c r="E168" i="1"/>
  <c r="B168" i="1" s="1"/>
  <c r="E320" i="1"/>
  <c r="B320" i="1" s="1"/>
  <c r="E313" i="1"/>
  <c r="B313" i="1" s="1"/>
  <c r="E59" i="1"/>
  <c r="B59" i="1" s="1"/>
  <c r="E174" i="1"/>
  <c r="B174" i="1" s="1"/>
  <c r="E25" i="1"/>
  <c r="B25" i="1" s="1"/>
  <c r="E10" i="1"/>
  <c r="B10" i="1" s="1"/>
  <c r="E188" i="1"/>
  <c r="B188" i="1" s="1"/>
  <c r="E366" i="1"/>
  <c r="B366" i="1" s="1"/>
  <c r="E85" i="1"/>
  <c r="B85" i="1" s="1"/>
  <c r="E189" i="1"/>
  <c r="B189" i="1" s="1"/>
  <c r="E175" i="1"/>
  <c r="B175" i="1" s="1"/>
  <c r="E343" i="1"/>
  <c r="B343" i="1" s="1"/>
  <c r="E325" i="1"/>
  <c r="B325" i="1" s="1"/>
  <c r="E326" i="1"/>
  <c r="B326" i="1" s="1"/>
  <c r="E67" i="1"/>
  <c r="B67" i="1" s="1"/>
  <c r="E390" i="1"/>
  <c r="B390" i="1" s="1"/>
  <c r="E276" i="1"/>
  <c r="B276" i="1" s="1"/>
  <c r="E41" i="1"/>
  <c r="B41" i="1" s="1"/>
  <c r="E110" i="1"/>
  <c r="B110" i="1" s="1"/>
  <c r="E238" i="1"/>
  <c r="B238" i="1" s="1"/>
  <c r="E207" i="1"/>
  <c r="B207" i="1" s="1"/>
  <c r="E277" i="1"/>
  <c r="B277" i="1" s="1"/>
  <c r="E200" i="1"/>
  <c r="B200" i="1" s="1"/>
  <c r="E135" i="1"/>
  <c r="B135" i="1" s="1"/>
  <c r="E142" i="1"/>
  <c r="B142" i="1" s="1"/>
  <c r="E60" i="1"/>
  <c r="B60" i="1" s="1"/>
  <c r="E269" i="1"/>
  <c r="B269" i="1" s="1"/>
  <c r="E314" i="1"/>
  <c r="B314" i="1" s="1"/>
  <c r="E261" i="1"/>
  <c r="B261" i="1" s="1"/>
  <c r="E291" i="1"/>
  <c r="B291" i="1" s="1"/>
  <c r="E391" i="1"/>
  <c r="B391" i="1" s="1"/>
  <c r="E344" i="1"/>
  <c r="B344" i="1" s="1"/>
  <c r="E68" i="1"/>
  <c r="B68" i="1" s="1"/>
  <c r="E33" i="1"/>
  <c r="B33" i="1" s="1"/>
  <c r="E190" i="1"/>
  <c r="B190" i="1" s="1"/>
  <c r="E138" i="1"/>
  <c r="B138" i="1" s="1"/>
  <c r="E147" i="1"/>
  <c r="B147" i="1" s="1"/>
  <c r="E385" i="1"/>
  <c r="B385" i="1" s="1"/>
  <c r="E111" i="1"/>
  <c r="B111" i="1" s="1"/>
  <c r="E169" i="1"/>
  <c r="B169" i="1" s="1"/>
  <c r="E345" i="1"/>
  <c r="B345" i="1" s="1"/>
  <c r="E287" i="1"/>
  <c r="B287" i="1" s="1"/>
  <c r="E346" i="1"/>
  <c r="B346" i="1" s="1"/>
  <c r="E75" i="1"/>
  <c r="B75" i="1" s="1"/>
  <c r="E266" i="1"/>
  <c r="B266" i="1" s="1"/>
  <c r="E302" i="1"/>
  <c r="B302" i="1" s="1"/>
  <c r="E160" i="1"/>
  <c r="B160" i="1" s="1"/>
  <c r="E112" i="1"/>
  <c r="B112" i="1" s="1"/>
  <c r="E11" i="1"/>
  <c r="B11" i="1" s="1"/>
  <c r="E184" i="1"/>
  <c r="B184" i="1" s="1"/>
  <c r="E288" i="1"/>
  <c r="B288" i="1" s="1"/>
  <c r="E217" i="1"/>
  <c r="B217" i="1" s="1"/>
  <c r="E321" i="1"/>
  <c r="B321" i="1" s="1"/>
  <c r="E161" i="1"/>
  <c r="B161" i="1" s="1"/>
  <c r="E233" i="1"/>
  <c r="B233" i="1" s="1"/>
  <c r="E213" i="1"/>
  <c r="B213" i="1" s="1"/>
  <c r="E218" i="1"/>
  <c r="B218" i="1" s="1"/>
  <c r="E278" i="1"/>
  <c r="B278" i="1" s="1"/>
  <c r="E357" i="1"/>
  <c r="B357" i="1" s="1"/>
  <c r="E170" i="1"/>
  <c r="B170" i="1" s="1"/>
  <c r="E113" i="1"/>
  <c r="B113" i="1" s="1"/>
  <c r="E139" i="1"/>
  <c r="B139" i="1" s="1"/>
  <c r="E130" i="1"/>
  <c r="B130" i="1" s="1"/>
  <c r="E223" i="1"/>
  <c r="B223" i="1" s="1"/>
  <c r="E131" i="1"/>
  <c r="B131" i="1" s="1"/>
  <c r="E339" i="1"/>
  <c r="B339" i="1" s="1"/>
  <c r="E42" i="1"/>
  <c r="B42" i="1" s="1"/>
  <c r="E55" i="1"/>
  <c r="B55" i="1" s="1"/>
  <c r="E236" i="1"/>
  <c r="B236" i="1" s="1"/>
  <c r="E246" i="1"/>
  <c r="B246" i="1" s="1"/>
  <c r="E224" i="1"/>
  <c r="B224" i="1" s="1"/>
  <c r="E392" i="1"/>
  <c r="B392" i="1" s="1"/>
  <c r="E148" i="1"/>
  <c r="B148" i="1" s="1"/>
  <c r="E393" i="1"/>
  <c r="B393" i="1" s="1"/>
  <c r="E351" i="1"/>
  <c r="B351" i="1" s="1"/>
  <c r="E279" i="1"/>
  <c r="B279" i="1" s="1"/>
  <c r="E219" i="1"/>
  <c r="B219" i="1" s="1"/>
  <c r="E208" i="1"/>
  <c r="B208" i="1" s="1"/>
  <c r="E86" i="1"/>
  <c r="B86" i="1" s="1"/>
  <c r="E171" i="1"/>
  <c r="B171" i="1" s="1"/>
  <c r="E220" i="1"/>
  <c r="B220" i="1" s="1"/>
  <c r="E225" i="1"/>
  <c r="B225" i="1" s="1"/>
  <c r="E373" i="1"/>
  <c r="B373" i="1" s="1"/>
  <c r="E162" i="1"/>
  <c r="B162" i="1" s="1"/>
  <c r="E347" i="1"/>
  <c r="B347" i="1" s="1"/>
  <c r="E52" i="1"/>
  <c r="B52" i="1" s="1"/>
  <c r="E122" i="1"/>
  <c r="B122" i="1" s="1"/>
  <c r="E106" i="1"/>
  <c r="B106" i="1" s="1"/>
  <c r="E270" i="1"/>
  <c r="B270" i="1" s="1"/>
  <c r="E226" i="1"/>
  <c r="B226" i="1" s="1"/>
  <c r="E61" i="1"/>
  <c r="B61" i="1" s="1"/>
  <c r="E255" i="1"/>
  <c r="B255" i="1" s="1"/>
  <c r="E143" i="1"/>
  <c r="B143" i="1" s="1"/>
  <c r="E154" i="1"/>
  <c r="B154" i="1" s="1"/>
  <c r="E352" i="1"/>
  <c r="B352" i="1" s="1"/>
  <c r="E69" i="1"/>
  <c r="B69" i="1" s="1"/>
  <c r="E149" i="1"/>
  <c r="B149" i="1" s="1"/>
  <c r="E239" i="1"/>
  <c r="B239" i="1" s="1"/>
  <c r="L240" i="1" l="1"/>
  <c r="L114" i="1"/>
  <c r="L176" i="1"/>
  <c r="L195" i="1"/>
  <c r="L296" i="1"/>
  <c r="L94" i="1"/>
  <c r="L201" i="1"/>
  <c r="L43" i="1"/>
  <c r="L202" i="1"/>
  <c r="L70" i="1"/>
  <c r="L12" i="1"/>
  <c r="L107" i="1"/>
  <c r="L196" i="1"/>
  <c r="L367" i="1"/>
  <c r="L374" i="1"/>
  <c r="L289" i="1"/>
  <c r="L18" i="1"/>
  <c r="L163" i="1"/>
  <c r="L155" i="1"/>
  <c r="L177" i="1"/>
  <c r="L156" i="1"/>
  <c r="L340" i="1"/>
  <c r="L336" i="1"/>
  <c r="L115" i="1"/>
  <c r="L358" i="1"/>
  <c r="L227" i="1"/>
  <c r="L322" i="1"/>
  <c r="L116" i="1"/>
  <c r="L386" i="1"/>
  <c r="L348" i="1"/>
  <c r="L327" i="1"/>
  <c r="L337" i="1"/>
  <c r="L26" i="1"/>
  <c r="L303" i="1"/>
  <c r="L203" i="1"/>
  <c r="L117" i="1"/>
  <c r="L95" i="1"/>
  <c r="L237" i="1"/>
  <c r="L197" i="1"/>
  <c r="L214" i="1"/>
  <c r="L191" i="1"/>
  <c r="L204" i="1"/>
  <c r="L309" i="1"/>
  <c r="L132" i="1"/>
  <c r="L228" i="1"/>
  <c r="L387" i="1"/>
  <c r="L256" i="1"/>
  <c r="L315" i="1"/>
  <c r="L56" i="1"/>
  <c r="L37" i="1"/>
  <c r="L178" i="1"/>
  <c r="L164" i="1"/>
  <c r="L123" i="1"/>
  <c r="L76" i="1"/>
  <c r="L77" i="1"/>
  <c r="L2" i="1"/>
  <c r="L370" i="1"/>
  <c r="L96" i="1"/>
  <c r="L280" i="1"/>
  <c r="L209" i="1"/>
  <c r="L185" i="1"/>
  <c r="L333" i="1"/>
  <c r="L133" i="1"/>
  <c r="L186" i="1"/>
  <c r="L267" i="1"/>
  <c r="L349" i="1"/>
  <c r="L136" i="1"/>
  <c r="L328" i="1"/>
  <c r="L97" i="1"/>
  <c r="L271" i="1"/>
  <c r="L297" i="1"/>
  <c r="L234" i="1"/>
  <c r="L71" i="1"/>
  <c r="L229" i="1"/>
  <c r="L62" i="1"/>
  <c r="L63" i="1"/>
  <c r="L304" i="1"/>
  <c r="L221" i="1"/>
  <c r="L27" i="1"/>
  <c r="L192" i="1"/>
  <c r="L353" i="1"/>
  <c r="L28" i="1"/>
  <c r="L262" i="1"/>
  <c r="L38" i="1"/>
  <c r="L29" i="1"/>
  <c r="L248" i="1"/>
  <c r="L230" i="1"/>
  <c r="L64" i="1"/>
  <c r="L78" i="1"/>
  <c r="L329" i="1"/>
  <c r="L263" i="1"/>
  <c r="L222" i="1"/>
  <c r="L53" i="1"/>
  <c r="L108" i="1"/>
  <c r="L338" i="1"/>
  <c r="L79" i="1"/>
  <c r="L39" i="1"/>
  <c r="L257" i="1"/>
  <c r="L378" i="1"/>
  <c r="L124" i="1"/>
  <c r="L125" i="1"/>
  <c r="L19" i="1"/>
  <c r="L379" i="1"/>
  <c r="L330" i="1"/>
  <c r="L310" i="1"/>
  <c r="L241" i="1"/>
  <c r="L80" i="1"/>
  <c r="L165" i="1"/>
  <c r="L34" i="1"/>
  <c r="L292" i="1"/>
  <c r="L179" i="1"/>
  <c r="L316" i="1"/>
  <c r="L140" i="1"/>
  <c r="L198" i="1"/>
  <c r="L172" i="1"/>
  <c r="L98" i="1"/>
  <c r="L126" i="1"/>
  <c r="L380" i="1"/>
  <c r="L127" i="1"/>
  <c r="L272" i="1"/>
  <c r="L298" i="1"/>
  <c r="L99" i="1"/>
  <c r="L57" i="1"/>
  <c r="L359" i="1"/>
  <c r="L13" i="1"/>
  <c r="L118" i="1"/>
  <c r="L381" i="1"/>
  <c r="L235" i="1"/>
  <c r="L30" i="1"/>
  <c r="L264" i="1"/>
  <c r="L20" i="1"/>
  <c r="L293" i="1"/>
  <c r="L331" i="1"/>
  <c r="L354" i="1"/>
  <c r="L311" i="1"/>
  <c r="L334" i="1"/>
  <c r="L109" i="1"/>
  <c r="L247" i="1"/>
  <c r="L382" i="1"/>
  <c r="L375" i="1"/>
  <c r="L383" i="1"/>
  <c r="L360" i="1"/>
  <c r="L341" i="1"/>
  <c r="L252" i="1"/>
  <c r="L193" i="1"/>
  <c r="L342" i="1"/>
  <c r="L273" i="1"/>
  <c r="L31" i="1"/>
  <c r="L128" i="1"/>
  <c r="L100" i="1"/>
  <c r="L317" i="1"/>
  <c r="L54" i="1"/>
  <c r="L335" i="1"/>
  <c r="L194" i="1"/>
  <c r="L350" i="1"/>
  <c r="L258" i="1"/>
  <c r="L81" i="1"/>
  <c r="L376" i="1"/>
  <c r="L46" i="1"/>
  <c r="L101" i="1"/>
  <c r="L249" i="1"/>
  <c r="L15" i="1"/>
  <c r="L72" i="1"/>
  <c r="L47" i="1"/>
  <c r="L137" i="1"/>
  <c r="L388" i="1"/>
  <c r="L323" i="1"/>
  <c r="L274" i="1"/>
  <c r="L281" i="1"/>
  <c r="L102" i="1"/>
  <c r="L250" i="1"/>
  <c r="L368" i="1"/>
  <c r="L371" i="1"/>
  <c r="L361" i="1"/>
  <c r="L372" i="1"/>
  <c r="L157" i="1"/>
  <c r="L275" i="1"/>
  <c r="L16" i="1"/>
  <c r="L150" i="1"/>
  <c r="L180" i="1"/>
  <c r="L141" i="1"/>
  <c r="L90" i="1"/>
  <c r="L151" i="1"/>
  <c r="L21" i="1"/>
  <c r="L40" i="1"/>
  <c r="L3" i="1"/>
  <c r="L4" i="1"/>
  <c r="L187" i="1"/>
  <c r="L305" i="1"/>
  <c r="L87" i="1"/>
  <c r="L265" i="1"/>
  <c r="L294" i="1"/>
  <c r="L215" i="1"/>
  <c r="L119" i="1"/>
  <c r="L306" i="1"/>
  <c r="L253" i="1"/>
  <c r="L5" i="1"/>
  <c r="L362" i="1"/>
  <c r="L259" i="1"/>
  <c r="L22" i="1"/>
  <c r="L384" i="1"/>
  <c r="L389" i="1"/>
  <c r="L14" i="1"/>
  <c r="L295" i="1"/>
  <c r="L299" i="1"/>
  <c r="L307" i="1"/>
  <c r="L181" i="1"/>
  <c r="L82" i="1"/>
  <c r="L324" i="1"/>
  <c r="L152" i="1"/>
  <c r="L103" i="1"/>
  <c r="L308" i="1"/>
  <c r="L282" i="1"/>
  <c r="L158" i="1"/>
  <c r="L73" i="1"/>
  <c r="L129" i="1"/>
  <c r="L283" i="1"/>
  <c r="L120" i="1"/>
  <c r="L35" i="1"/>
  <c r="L23" i="1"/>
  <c r="L159" i="1"/>
  <c r="L268" i="1"/>
  <c r="L216" i="1"/>
  <c r="L242" i="1"/>
  <c r="L74" i="1"/>
  <c r="L243" i="1"/>
  <c r="L182" i="1"/>
  <c r="L65" i="1"/>
  <c r="L36" i="1"/>
  <c r="L44" i="1"/>
  <c r="L66" i="1"/>
  <c r="L6" i="1"/>
  <c r="L58" i="1"/>
  <c r="L83" i="1"/>
  <c r="L91" i="1"/>
  <c r="L205" i="1"/>
  <c r="L144" i="1"/>
  <c r="L50" i="1"/>
  <c r="L284" i="1"/>
  <c r="L355" i="1"/>
  <c r="L363" i="1"/>
  <c r="L7" i="1"/>
  <c r="L153" i="1"/>
  <c r="L285" i="1"/>
  <c r="L104" i="1"/>
  <c r="L286" i="1"/>
  <c r="L318" i="1"/>
  <c r="L88" i="1"/>
  <c r="L300" i="1"/>
  <c r="L210" i="1"/>
  <c r="L145" i="1"/>
  <c r="L332" i="1"/>
  <c r="L356" i="1"/>
  <c r="L183" i="1"/>
  <c r="L166" i="1"/>
  <c r="L89" i="1"/>
  <c r="L369" i="1"/>
  <c r="L199" i="1"/>
  <c r="L244" i="1"/>
  <c r="L364" i="1"/>
  <c r="L105" i="1"/>
  <c r="L206" i="1"/>
  <c r="L8" i="1"/>
  <c r="L254" i="1"/>
  <c r="L301" i="1"/>
  <c r="L24" i="1"/>
  <c r="L251" i="1"/>
  <c r="L134" i="1"/>
  <c r="L377" i="1"/>
  <c r="L260" i="1"/>
  <c r="L32" i="1"/>
  <c r="L121" i="1"/>
  <c r="L211" i="1"/>
  <c r="L9" i="1"/>
  <c r="L84" i="1"/>
  <c r="L92" i="1"/>
  <c r="L146" i="1"/>
  <c r="L312" i="1"/>
  <c r="L212" i="1"/>
  <c r="L45" i="1"/>
  <c r="L51" i="1"/>
  <c r="L319" i="1"/>
  <c r="L48" i="1"/>
  <c r="L290" i="1"/>
  <c r="L17" i="1"/>
  <c r="L49" i="1"/>
  <c r="L231" i="1"/>
  <c r="L93" i="1"/>
  <c r="L365" i="1"/>
  <c r="L245" i="1"/>
  <c r="L232" i="1"/>
  <c r="L167" i="1"/>
  <c r="L173" i="1"/>
  <c r="L168" i="1"/>
  <c r="L320" i="1"/>
  <c r="L313" i="1"/>
  <c r="L59" i="1"/>
  <c r="L174" i="1"/>
  <c r="L25" i="1"/>
  <c r="L10" i="1"/>
  <c r="L188" i="1"/>
  <c r="L366" i="1"/>
  <c r="L85" i="1"/>
  <c r="L189" i="1"/>
  <c r="L175" i="1"/>
  <c r="L343" i="1"/>
  <c r="L325" i="1"/>
  <c r="L326" i="1"/>
  <c r="L67" i="1"/>
  <c r="L390" i="1"/>
  <c r="L276" i="1"/>
  <c r="L41" i="1"/>
  <c r="L110" i="1"/>
  <c r="L238" i="1"/>
  <c r="L207" i="1"/>
  <c r="L277" i="1"/>
  <c r="L200" i="1"/>
  <c r="L135" i="1"/>
  <c r="L142" i="1"/>
  <c r="L60" i="1"/>
  <c r="L269" i="1"/>
  <c r="L314" i="1"/>
  <c r="L261" i="1"/>
  <c r="L291" i="1"/>
  <c r="L391" i="1"/>
  <c r="L344" i="1"/>
  <c r="L68" i="1"/>
  <c r="L33" i="1"/>
  <c r="L190" i="1"/>
  <c r="L138" i="1"/>
  <c r="L147" i="1"/>
  <c r="L385" i="1"/>
  <c r="L111" i="1"/>
  <c r="L169" i="1"/>
  <c r="L345" i="1"/>
  <c r="L287" i="1"/>
  <c r="L346" i="1"/>
  <c r="L75" i="1"/>
  <c r="L266" i="1"/>
  <c r="L302" i="1"/>
  <c r="L160" i="1"/>
  <c r="L112" i="1"/>
  <c r="L11" i="1"/>
  <c r="L184" i="1"/>
  <c r="L288" i="1"/>
  <c r="L217" i="1"/>
  <c r="L321" i="1"/>
  <c r="L161" i="1"/>
  <c r="L233" i="1"/>
  <c r="L213" i="1"/>
  <c r="L218" i="1"/>
  <c r="L278" i="1"/>
  <c r="L357" i="1"/>
  <c r="L170" i="1"/>
  <c r="L113" i="1"/>
  <c r="L139" i="1"/>
  <c r="L130" i="1"/>
  <c r="L223" i="1"/>
  <c r="L131" i="1"/>
  <c r="L339" i="1"/>
  <c r="L42" i="1"/>
  <c r="L55" i="1"/>
  <c r="L236" i="1"/>
  <c r="L246" i="1"/>
  <c r="L224" i="1"/>
  <c r="L392" i="1"/>
  <c r="L148" i="1"/>
  <c r="L393" i="1"/>
  <c r="L351" i="1"/>
  <c r="L279" i="1"/>
  <c r="L219" i="1"/>
  <c r="L208" i="1"/>
  <c r="L86" i="1"/>
  <c r="L171" i="1"/>
  <c r="L220" i="1"/>
  <c r="L225" i="1"/>
  <c r="L373" i="1"/>
  <c r="L162" i="1"/>
  <c r="L347" i="1"/>
  <c r="L52" i="1"/>
  <c r="L122" i="1"/>
  <c r="L106" i="1"/>
  <c r="L270" i="1"/>
  <c r="L226" i="1"/>
  <c r="L61" i="1"/>
  <c r="L255" i="1"/>
  <c r="L143" i="1"/>
  <c r="L154" i="1"/>
  <c r="L352" i="1"/>
  <c r="L69" i="1"/>
  <c r="L149" i="1"/>
  <c r="L239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ase Study v1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aseStudyv1.xlsxTable1"/>
        </x15:connection>
      </ext>
    </extLst>
  </connection>
</connections>
</file>

<file path=xl/sharedStrings.xml><?xml version="1.0" encoding="utf-8"?>
<sst xmlns="http://schemas.openxmlformats.org/spreadsheetml/2006/main" count="1244" uniqueCount="67">
  <si>
    <t>Specialty</t>
  </si>
  <si>
    <t>Date of 1st Dispense</t>
  </si>
  <si>
    <t>Date of last Dispense</t>
  </si>
  <si>
    <t>Enrollments</t>
  </si>
  <si>
    <t>NPS</t>
  </si>
  <si>
    <t>Discontinuations</t>
  </si>
  <si>
    <t>Area Name</t>
  </si>
  <si>
    <t>Active HCP</t>
  </si>
  <si>
    <t>AI</t>
  </si>
  <si>
    <t>WEST</t>
  </si>
  <si>
    <t>Active</t>
  </si>
  <si>
    <t>NA</t>
  </si>
  <si>
    <t>A</t>
  </si>
  <si>
    <t>MIDWEST</t>
  </si>
  <si>
    <t>CENTRAL</t>
  </si>
  <si>
    <t>NORTHEAST</t>
  </si>
  <si>
    <t>Inactive</t>
  </si>
  <si>
    <t>PDA</t>
  </si>
  <si>
    <t>FM</t>
  </si>
  <si>
    <t>SOUTHEAST</t>
  </si>
  <si>
    <t>PD</t>
  </si>
  <si>
    <t>OTO</t>
  </si>
  <si>
    <t>PDE</t>
  </si>
  <si>
    <t>GP</t>
  </si>
  <si>
    <t>IG</t>
  </si>
  <si>
    <t>PPR</t>
  </si>
  <si>
    <t>D</t>
  </si>
  <si>
    <t>IM</t>
  </si>
  <si>
    <t>UP</t>
  </si>
  <si>
    <t>PCC</t>
  </si>
  <si>
    <t>PUD</t>
  </si>
  <si>
    <t>Sample Data</t>
  </si>
  <si>
    <t>HCP is Active if there is a last dispense in the last 4 months</t>
  </si>
  <si>
    <t>Data as-of Sep 23, 2022</t>
  </si>
  <si>
    <t>Questions:</t>
  </si>
  <si>
    <t>HCP counts by Rx duration bucket (i.e. how long HCPs have been writing Rx)?</t>
  </si>
  <si>
    <t>Top 5 specialities by enrollment?</t>
  </si>
  <si>
    <t>Are there differences in HCPs who started writing in 2021 vs. 2022?</t>
  </si>
  <si>
    <t>Add a random unique identifier for each HCP</t>
  </si>
  <si>
    <t>What is the average enrollment by HCP Rx duration buckets?</t>
  </si>
  <si>
    <t>what is the average NPS / HCP for HCPs who started writing in 2021 vs. 2022?</t>
  </si>
  <si>
    <t>Grand Total</t>
  </si>
  <si>
    <t>Rx_Duration_Bucket</t>
  </si>
  <si>
    <t>0-1 Years</t>
  </si>
  <si>
    <t>10+ Years</t>
  </si>
  <si>
    <t>1-3 Years</t>
  </si>
  <si>
    <t>3-5 Years</t>
  </si>
  <si>
    <t>5-10 Years</t>
  </si>
  <si>
    <t xml:space="preserve">HCP Count
</t>
  </si>
  <si>
    <t>Average of Enrollments</t>
  </si>
  <si>
    <t>Rx Duration Bucket</t>
  </si>
  <si>
    <t>Rx_Start_Year</t>
  </si>
  <si>
    <t>Metric</t>
  </si>
  <si>
    <t>HCP Count</t>
  </si>
  <si>
    <t>Average Enrollment</t>
  </si>
  <si>
    <t>Average NPS</t>
  </si>
  <si>
    <t>Year</t>
  </si>
  <si>
    <t>Average NPS per HCP</t>
  </si>
  <si>
    <t>Sum of Enrollments</t>
  </si>
  <si>
    <t>Q1- HCP Unique Identifier</t>
  </si>
  <si>
    <t>Done in sheet name- Avg_Patients  &amp; Dispenses, column 1 (name- Q1- HCP Unique Identifier)</t>
  </si>
  <si>
    <t>Sheet name-Q2_Top_5_Specialties</t>
  </si>
  <si>
    <t>Solutions in</t>
  </si>
  <si>
    <t>Sheet name-Q3_Rx_Duration_Bucket</t>
  </si>
  <si>
    <t>Sheet name-Q4_Avg_Enrollment_By_Rx_Bucket</t>
  </si>
  <si>
    <t>Sheet name-Q5_Avg_NPS_2021_vs_2022</t>
  </si>
  <si>
    <t>Sheet name-Q6_2021_vs_2022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</si>
</sst>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* #,##0_ ;_ * \-#,##0_ ;_ * &quot;-&quot;??_ ;_ @_ "/>
    <numFmt numFmtId="166" formatCode="0.0"/>
    <numFmt numFmtId="167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65" fontId="0" fillId="0" borderId="0" xfId="1" applyNumberFormat="1" applyFont="1"/>
    <xf numFmtId="2" fontId="0" fillId="0" borderId="0" xfId="0" applyNumberFormat="1"/>
    <xf numFmtId="165" fontId="0" fillId="0" borderId="0" xfId="1" applyNumberFormat="1" applyFont="1" applyAlignment="1">
      <alignment horizontal="center"/>
    </xf>
    <xf numFmtId="9" fontId="0" fillId="0" borderId="0" xfId="2" applyFont="1"/>
    <xf numFmtId="10" fontId="0" fillId="0" borderId="0" xfId="2" applyNumberFormat="1" applyFont="1"/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0" fontId="0" fillId="0" borderId="0" xfId="0" applyAlignment="1">
      <alignment horizontal="right"/>
    </xf>
    <xf numFmtId="165" fontId="2" fillId="2" borderId="1" xfId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pivotButton="1"/>
    <xf numFmtId="165" fontId="2" fillId="2" borderId="0" xfId="1" applyNumberFormat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 applyNumberFormat="1"/>
    <xf numFmtId="0" fontId="0" fillId="0" borderId="0" xfId="0" applyFont="1" applyFill="1" applyAlignment="1">
      <alignment horizontal="left"/>
    </xf>
    <xf numFmtId="0" fontId="0" fillId="0" borderId="0" xfId="0" applyNumberFormat="1" applyFont="1" applyFill="1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/>
    </xf>
    <xf numFmtId="1" fontId="2" fillId="3" borderId="1" xfId="0" applyNumberFormat="1" applyFont="1" applyFill="1" applyBorder="1" applyAlignment="1">
      <alignment horizontal="center" vertical="center" wrapText="1"/>
    </xf>
    <xf numFmtId="0" fontId="0" fillId="3" borderId="10" xfId="0" applyFill="1" applyBorder="1"/>
    <xf numFmtId="0" fontId="0" fillId="3" borderId="12" xfId="0" applyFill="1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0" borderId="8" xfId="0" applyBorder="1"/>
    <xf numFmtId="0" fontId="0" fillId="0" borderId="9" xfId="0" applyBorder="1"/>
  </cellXfs>
  <cellStyles count="3">
    <cellStyle name="Comma" xfId="1" builtinId="3"/>
    <cellStyle name="Normal" xfId="0" builtinId="0"/>
    <cellStyle name="Percent" xfId="2" builtinId="5"/>
  </cellStyles>
  <dxfs count="31">
    <dxf>
      <font>
        <b/>
      </font>
    </dxf>
    <dxf>
      <font>
        <b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</font>
    </dxf>
    <dxf>
      <font>
        <b/>
      </font>
    </dxf>
    <dxf>
      <numFmt numFmtId="0" formatCode="General"/>
    </dxf>
    <dxf>
      <numFmt numFmtId="166" formatCode="0.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m/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 * #,##0_ ;_ * \-#,##0_ ;_ * &quot;-&quot;??_ ;_ @_ "/>
      <fill>
        <patternFill patternType="solid">
          <fgColor indexed="64"/>
          <bgColor theme="3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Arpit Gautam" refreshedDate="46025.556108564815" backgroundQuery="1" createdVersion="6" refreshedVersion="8" minRefreshableVersion="3" recordCount="0" supportSubquery="1" supportAdvancedDrill="1">
  <cacheSource type="external" connectionId="1"/>
  <cacheFields count="2">
    <cacheField name="[Table1].[Rx_Duration_Bucket].[Rx_Duration_Bucket]" caption="Rx_Duration_Bucket" numFmtId="0" hierarchy="9" level="1">
      <sharedItems count="5">
        <s v="0-1 Years"/>
        <s v="10+ Years"/>
        <s v="1-3 Years"/>
        <s v="3-5 Years"/>
        <s v="5-10 Years"/>
      </sharedItems>
    </cacheField>
    <cacheField name="[Measures].[Count of HCP Unqiue Identifier]" caption="Count of HCP Unqiue Identifier" numFmtId="0" hierarchy="12" level="32767"/>
  </cacheFields>
  <cacheHierarchies count="15">
    <cacheHierarchy uniqueName="[Table1].[HCP Unqiue Identifier]" caption="HCP Unqiue Identifier" attribute="1" defaultMemberUniqueName="[Table1].[HCP Unqiue Identifier].[All]" allUniqueName="[Table1].[HCP Unqiue Identifier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Date of 1st Dispense]" caption="Date of 1st Dispense" attribute="1" time="1" defaultMemberUniqueName="[Table1].[Date of 1st Dispense].[All]" allUniqueName="[Table1].[Date of 1st Dispense].[All]" dimensionUniqueName="[Table1]" displayFolder="" count="0" memberValueDatatype="7" unbalanced="0"/>
    <cacheHierarchy uniqueName="[Table1].[Date of last Dispense]" caption="Date of last Dispense" attribute="1" time="1" defaultMemberUniqueName="[Table1].[Date of last Dispense].[All]" allUniqueName="[Table1].[Date of last Dispense].[All]" dimensionUniqueName="[Table1]" displayFolder="" count="0" memberValueDatatype="7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NPS]" caption="NPS" attribute="1" defaultMemberUniqueName="[Table1].[NPS].[All]" allUniqueName="[Table1].[NPS].[All]" dimensionUniqueName="[Table1]" displayFolder="" count="0" memberValueDatatype="20" unbalanced="0"/>
    <cacheHierarchy uniqueName="[Table1].[Discontinuations]" caption="Discontinuations" attribute="1" defaultMemberUniqueName="[Table1].[Discontinuations].[All]" allUniqueName="[Table1].[Discontinuations].[All]" dimensionUniqueName="[Table1]" displayFolder="" count="0" memberValueDatatype="20" unbalanced="0"/>
    <cacheHierarchy uniqueName="[Table1].[Area Name]" caption="Area Name" attribute="1" defaultMemberUniqueName="[Table1].[Area Name].[All]" allUniqueName="[Table1].[Area Name].[All]" dimensionUniqueName="[Table1]" displayFolder="" count="0" memberValueDatatype="130" unbalanced="0"/>
    <cacheHierarchy uniqueName="[Table1].[Active HCP]" caption="Active HCP" attribute="1" defaultMemberUniqueName="[Table1].[Active HCP].[All]" allUniqueName="[Table1].[Active HCP].[All]" dimensionUniqueName="[Table1]" displayFolder="" count="0" memberValueDatatype="130" unbalanced="0"/>
    <cacheHierarchy uniqueName="[Table1].[Rx_Duration_Bucket]" caption="Rx_Duration_Bucket" attribute="1" defaultMemberUniqueName="[Table1].[Rx_Duration_Bucket].[All]" allUniqueName="[Table1].[Rx_Duration_Bucket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HCP Unqiue Identifier]" caption="Count of HCP Unqiue Identifier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rollments]" caption="Sum of Enrollmen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Enrollments]" caption="Average of Enrollmen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Arpit Gautam" refreshedDate="46025.556713773149" backgroundQuery="1" createdVersion="6" refreshedVersion="8" minRefreshableVersion="3" recordCount="0" supportSubquery="1" supportAdvancedDrill="1">
  <cacheSource type="external" connectionId="1"/>
  <cacheFields count="2">
    <cacheField name="[Table1].[Rx_Duration_Bucket].[Rx_Duration_Bucket]" caption="Rx_Duration_Bucket" numFmtId="0" hierarchy="9" level="1">
      <sharedItems count="5">
        <s v="0-1 Years"/>
        <s v="10+ Years"/>
        <s v="1-3 Years"/>
        <s v="3-5 Years"/>
        <s v="5-10 Years"/>
      </sharedItems>
    </cacheField>
    <cacheField name="[Measures].[Average of Enrollments]" caption="Average of Enrollments" numFmtId="0" hierarchy="14" level="32767"/>
  </cacheFields>
  <cacheHierarchies count="15">
    <cacheHierarchy uniqueName="[Table1].[HCP Unqiue Identifier]" caption="HCP Unqiue Identifier" attribute="1" defaultMemberUniqueName="[Table1].[HCP Unqiue Identifier].[All]" allUniqueName="[Table1].[HCP Unqiue Identifier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Date of 1st Dispense]" caption="Date of 1st Dispense" attribute="1" time="1" defaultMemberUniqueName="[Table1].[Date of 1st Dispense].[All]" allUniqueName="[Table1].[Date of 1st Dispense].[All]" dimensionUniqueName="[Table1]" displayFolder="" count="0" memberValueDatatype="7" unbalanced="0"/>
    <cacheHierarchy uniqueName="[Table1].[Date of last Dispense]" caption="Date of last Dispense" attribute="1" time="1" defaultMemberUniqueName="[Table1].[Date of last Dispense].[All]" allUniqueName="[Table1].[Date of last Dispense].[All]" dimensionUniqueName="[Table1]" displayFolder="" count="0" memberValueDatatype="7" unbalanced="0"/>
    <cacheHierarchy uniqueName="[Table1].[Enrollments]" caption="Enrollments" attribute="1" defaultMemberUniqueName="[Table1].[Enrollments].[All]" allUniqueName="[Table1].[Enrollments].[All]" dimensionUniqueName="[Table1]" displayFolder="" count="0" memberValueDatatype="20" unbalanced="0"/>
    <cacheHierarchy uniqueName="[Table1].[NPS]" caption="NPS" attribute="1" defaultMemberUniqueName="[Table1].[NPS].[All]" allUniqueName="[Table1].[NPS].[All]" dimensionUniqueName="[Table1]" displayFolder="" count="0" memberValueDatatype="20" unbalanced="0"/>
    <cacheHierarchy uniqueName="[Table1].[Discontinuations]" caption="Discontinuations" attribute="1" defaultMemberUniqueName="[Table1].[Discontinuations].[All]" allUniqueName="[Table1].[Discontinuations].[All]" dimensionUniqueName="[Table1]" displayFolder="" count="0" memberValueDatatype="20" unbalanced="0"/>
    <cacheHierarchy uniqueName="[Table1].[Area Name]" caption="Area Name" attribute="1" defaultMemberUniqueName="[Table1].[Area Name].[All]" allUniqueName="[Table1].[Area Name].[All]" dimensionUniqueName="[Table1]" displayFolder="" count="0" memberValueDatatype="130" unbalanced="0"/>
    <cacheHierarchy uniqueName="[Table1].[Active HCP]" caption="Active HCP" attribute="1" defaultMemberUniqueName="[Table1].[Active HCP].[All]" allUniqueName="[Table1].[Active HCP].[All]" dimensionUniqueName="[Table1]" displayFolder="" count="0" memberValueDatatype="130" unbalanced="0"/>
    <cacheHierarchy uniqueName="[Table1].[Rx_Duration_Bucket]" caption="Rx_Duration_Bucket" attribute="1" defaultMemberUniqueName="[Table1].[Rx_Duration_Bucket].[All]" allUniqueName="[Table1].[Rx_Duration_Bucket].[All]" dimensionUniqueName="[Table1]" displayFolder="" count="2" memberValueDatatype="130" unbalanced="0">
      <fieldsUsage count="2">
        <fieldUsage x="-1"/>
        <fieldUsage x="0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HCP Unqiue Identifier]" caption="Count of HCP Unqiue Identifier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Enrollments]" caption="Sum of Enrollments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Average of Enrollments]" caption="Average of Enrollment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rpit Gautam" refreshedDate="46025.560132870371" createdVersion="6" refreshedVersion="8" minRefreshableVersion="3" recordCount="392">
  <cacheSource type="worksheet">
    <worksheetSource name="Table1"/>
  </cacheSource>
  <cacheFields count="11">
    <cacheField name="Q1- HCP Unique Identifier" numFmtId="0">
      <sharedItems count="392">
        <s v="HCP_AI2021SOUTHEAST70027"/>
        <s v="HCP_PDA2021MIDWEST70109"/>
        <s v="HCP_AI2021MIDWEST70821"/>
        <s v="HCP_AI2021CENTRAL70930"/>
        <s v="HCP_AI2020WEST704822"/>
        <s v="HCP_AI2020WEST703123"/>
        <s v="HCP_AI2020WEST70924"/>
        <s v="HCP_AI2020WEST70410"/>
        <s v="HCP_AI2020CENTRAL703616"/>
        <s v="HCP_AI2020NORTHEAST702030"/>
        <s v="HCP_AI2022WEST692826"/>
        <s v="HCP_AI2021WEST69191"/>
        <s v="HCP_IG2021MIDWEST693218"/>
        <s v="HCP_FM2021NORTHEAST681214"/>
        <s v="HCP_FM2021NORTHEAST681416"/>
        <s v="HCP_AI2020WEST682310"/>
        <s v="HCP_AI2022CENTRAL67445"/>
        <s v="HCP_AI2021WEST67174"/>
        <s v="HCP_AI2020MIDWEST67429"/>
        <s v="HCP_PDA2021NORTHEAST671112"/>
        <s v="HCP_PDA2021SOUTHEAST67280"/>
        <s v="HCP_PDA2021NORTHEAST674920"/>
        <s v="HCP_AI2020WEST67364"/>
        <s v="HCP_AI2020SOUTHEAST67332"/>
        <s v="HCP_AI2021WEST663416"/>
        <s v="HCP_AI2021CENTRAL664011"/>
        <s v="HCP_AI2021WEST66115"/>
        <s v="HCP_GP2021CENTRAL66830"/>
        <s v="HCP_PDA2021NORTHEAST66520"/>
        <s v="HCP_AI2021MIDWEST66100"/>
        <s v="HCP_AI2020SOUTHEAST66203"/>
        <s v="HCP_AI2020CENTRAL664425"/>
        <s v="HCP_PDA2021WEST65304"/>
        <s v="HCP_AI2021WEST652316"/>
        <s v="HCP_AI2020WEST65290"/>
        <s v="HCP_AI2021NORTHEAST64629"/>
        <s v="HCP_AI2021CENTRAL645018"/>
        <s v="HCP_AI2021MIDWEST64812"/>
        <s v="HCP_AI2021WEST644914"/>
        <s v="HCP_AI2020NORTHEAST641019"/>
        <s v="HCP_IG2020MIDWEST641025"/>
        <s v="HCP_AI2022WEST632129"/>
        <s v="HCP_IM2020WEST633315"/>
        <s v="HCP_AI2020CENTRAL632624"/>
        <s v="HCP_A2021NORTHEAST62364"/>
        <s v="HCP_AI2021MIDWEST62919"/>
        <s v="HCP_AI2020NORTHEAST624221"/>
        <s v="HCP_PDA2021NORTHEAST623111"/>
        <s v="HCP_AI2020CENTRAL612913"/>
        <s v="HCP_AI2020SOUTHEAST611314"/>
        <s v="HCP_AI2020MIDWEST6137"/>
        <s v="HCP_IG2021WEST604723"/>
        <s v="HCP_PDA2021WEST604126"/>
        <s v="HCP_AI2020SOUTHEAST601120"/>
        <s v="HCP_OTO2021CENTRAL59233"/>
        <s v="HCP_AI2021WEST5967"/>
        <s v="HCP_AI2020WEST59816"/>
        <s v="HCP_AI2020SOUTHEAST592010"/>
        <s v="HCP_AI2020SOUTHEAST594623"/>
        <s v="HCP_AI2020CENTRAL59274"/>
        <s v="HCP_AI2021MIDWEST58320"/>
        <s v="HCP_AI2021NORTHEAST582222"/>
        <s v="HCP_A2021WEST58289"/>
        <s v="HCP_AI2020SOUTHEAST58353"/>
        <s v="HCP_AI2020NORTHEAST581514"/>
        <s v="HCP_AI2020NORTHEAST581614"/>
        <s v="HCP_AI2020CENTRAL58127"/>
        <s v="HCP_PDA2020NORTHEAST581714"/>
        <s v="HCP_AI2022WEST571528"/>
        <s v="HCP_AI2020MIDWEST57459"/>
        <s v="HCP_AI2021MIDWEST5715"/>
        <s v="HCP_AI2021CENTRAL574023"/>
        <s v="HCP_AI2020WEST57813"/>
        <s v="HCP_PDA2020MIDWEST574011"/>
        <s v="HCP_AI2021NORTHEAST56110"/>
        <s v="HCP_AI2021CENTRAL564928"/>
        <s v="HCP_AI2021WEST562418"/>
        <s v="HCP_AI2021WEST564729"/>
        <s v="HCP_AI2021MIDWEST56266"/>
        <s v="HCP_AI2021CENTRAL56272"/>
        <s v="HCP_PD2021MIDWEST562011"/>
        <s v="HCP_AI2020MIDWEST564329"/>
        <s v="HCP_AI2020SOUTHEAST5694"/>
        <s v="HCP_AI2020NORTHEAST564419"/>
        <s v="HCP_AI2020CENTRAL564816"/>
        <s v="HCP_PDA2020MIDWEST5590"/>
        <s v="HCP_AI2020SOUTHEAST55153"/>
        <s v="HCP_AI2020NORTHEAST554220"/>
        <s v="HCP_PDA2021NORTHEAST543921"/>
        <s v="HCP_PDA2020NORTHEAST543413"/>
        <s v="HCP_AI2020WEST54918"/>
        <s v="HCP_AI2020WEST542222"/>
        <s v="HCP_AI2022NORTHEAST53147"/>
        <s v="HCP_PDA2021CENTRAL534722"/>
        <s v="HCP_AI2021CENTRAL532225"/>
        <s v="HCP_PDA2021CENTRAL53262"/>
        <s v="HCP_AI2021CENTRAL532317"/>
        <s v="HCP_AI2021MIDWEST533716"/>
        <s v="HCP_AI2021NORTHEAST531529"/>
        <s v="HCP_AI2021WEST534027"/>
        <s v="HCP_AI2021MIDWEST53017"/>
        <s v="HCP_AI2021CENTRAL535022"/>
        <s v="HCP_PDA2020SOUTHEAST535016"/>
        <s v="HCP_PDA2020SOUTHEAST533818"/>
        <s v="HCP_A2020MIDWEST531421"/>
        <s v="HCP_PDA2022SOUTHEAST523616"/>
        <s v="HCP_AI2021SOUTHEAST522714"/>
        <s v="HCP_AI2021CENTRAL52529"/>
        <s v="HCP_AI2020WEST521627"/>
        <s v="HCP_AI2020WEST521022"/>
        <s v="HCP_AI2020WEST52012"/>
        <s v="HCP_PD2021MIDWEST524411"/>
        <s v="HCP_NA2022NA511718"/>
        <s v="HCP_AI2021WEST513222"/>
        <s v="HCP_AI2021WEST51227"/>
        <s v="HCP_AI2021CENTRAL513915"/>
        <s v="HCP_PD2021NORTHEAST511030"/>
        <s v="HCP_AI2021CENTRAL51111"/>
        <s v="HCP_AI2021MIDWEST512713"/>
        <s v="HCP_AI2020SOUTHEAST512228"/>
        <s v="HCP_GP2020WEST513523"/>
        <s v="HCP_AI2021CENTRAL502021"/>
        <s v="HCP_A2021CENTRAL502110"/>
        <s v="HCP_AI2021NORTHEAST504724"/>
        <s v="HCP_AI2021NORTHEAST50246"/>
        <s v="HCP_AI2021WEST5062"/>
        <s v="HCP_AI2021SOUTHEAST501010"/>
        <s v="HCP_AI2021SOUTHEAST50396"/>
        <s v="HCP_AI2020CENTRAL504621"/>
        <s v="HCP_AI2020SOUTHEAST504924"/>
        <s v="HCP_AI2021MIDWEST49259"/>
        <s v="HCP_AI2021CENTRAL49177"/>
        <s v="HCP_AI2020WEST494320"/>
        <s v="HCP_AI2020SOUTHEAST49452"/>
        <s v="HCP_AI2021MIDWEST48011"/>
        <s v="HCP_AI2021NORTHEAST48500"/>
        <s v="HCP_AI2020MIDWEST483826"/>
        <s v="HCP_AI2020CENTRAL482729"/>
        <s v="HCP_AI2021MIDWEST47630"/>
        <s v="HCP_AI2021WEST47297"/>
        <s v="HCP_PDA2020SOUTHEAST47422"/>
        <s v="HCP_AI2020WEST4733"/>
        <s v="HCP_AI2020SOUTHEAST463515"/>
        <s v="HCP_AI2020SOUTHEAST462115"/>
        <s v="HCP_AI2020MIDWEST46293"/>
        <s v="HCP_PD2020CENTRAL462420"/>
        <s v="HCP_AI2020WEST463324"/>
        <s v="HCP_AI2020CENTRAL462826"/>
        <s v="HCP_AI2021MIDWEST45480"/>
        <s v="HCP_AI2021MIDWEST45179"/>
        <s v="HCP_AI2021WEST452019"/>
        <s v="HCP_AI2020MIDWEST451025"/>
        <s v="HCP_PDA2020MIDWEST45729"/>
        <s v="HCP_AI2022WEST442820"/>
        <s v="HCP_AI2021SOUTHEAST44416"/>
        <s v="HCP_AI2021MIDWEST444529"/>
        <s v="HCP_AI2021NORTHEAST44108"/>
        <s v="HCP_AI2021WEST441520"/>
        <s v="HCP_AI2020WEST44193"/>
        <s v="HCP_PUD2021MIDWEST44017"/>
        <s v="HCP_AI2020SOUTHEAST44306"/>
        <s v="HCP_PDA2022MIDWEST43308"/>
        <s v="HCP_AI2021NORTHEAST432618"/>
        <s v="HCP_AI2021MIDWEST43324"/>
        <s v="HCP_FM2020CENTRAL43373"/>
        <s v="HCP_AI2020WEST43126"/>
        <s v="HCP_AI2020SOUTHEAST431412"/>
        <s v="HCP_AI2020CENTRAL433320"/>
        <s v="HCP_AI2020MIDWEST432423"/>
        <s v="HCP_AI2021SOUTHEAST432829"/>
        <s v="HCP_AI2020NORTHEAST421311"/>
        <s v="HCP_AI2020WEST42813"/>
        <s v="HCP_A2020MIDWEST423316"/>
        <s v="HCP_AI2020CENTRAL421814"/>
        <s v="HCP_A2022MIDWEST41357"/>
        <s v="HCP_AI2021SOUTHEAST41615"/>
        <s v="HCP_OTO2021CENTRAL41289"/>
        <s v="HCP_AI2021SOUTHEAST412514"/>
        <s v="HCP_FM2021MIDWEST41213"/>
        <s v="HCP_AI2021CENTRAL41478"/>
        <s v="HCP_AI2020WEST4121"/>
        <s v="HCP_PD2020NORTHEAST411325"/>
        <s v="HCP_AI2020MIDWEST411028"/>
        <s v="HCP_AI2021NORTHEAST402319"/>
        <s v="HCP_AI2021CENTRAL402417"/>
        <s v="HCP_AI2021SOUTHEAST4080"/>
        <s v="HCP_AI2020CENTRAL404224"/>
        <s v="HCP_PDA2020MIDWEST40365"/>
        <s v="HCP_A2021MIDWEST39110"/>
        <s v="HCP_PDA2021MIDWEST38414"/>
        <s v="HCP_AI2021SOUTHEAST38727"/>
        <s v="HCP_AI2021MIDWEST383529"/>
        <s v="HCP_AI2021MIDWEST383918"/>
        <s v="HCP_AI2022MIDWEST37714"/>
        <s v="HCP_AI2022NORTHEAST37290"/>
        <s v="HCP_AI2021WEST37379"/>
        <s v="HCP_PD2021MIDWEST374616"/>
        <s v="HCP_AI2020WEST37362"/>
        <s v="HCP_AI2020NORTHEAST37406"/>
        <s v="HCP_PDA2022CENTRAL36434"/>
        <s v="HCP_FM2022CENTRAL36347"/>
        <s v="HCP_PDA2020NORTHEAST36915"/>
        <s v="HCP_PDA2021WEST364514"/>
        <s v="HCP_AI2020NORTHEAST36323"/>
        <s v="HCP_A2020MIDWEST36130"/>
        <s v="HCP_PDA2020SOUTHEAST361224"/>
        <s v="HCP_AI2020MIDWEST36422"/>
        <s v="HCP_AI2021SOUTHEAST351614"/>
        <s v="HCP_PDA2020MIDWEST3418"/>
        <s v="HCP_AI2020CENTRAL3411"/>
        <s v="HCP_AI2020MIDWEST3474"/>
        <s v="HCP_AI2020SOUTHEAST34466"/>
        <s v="HCP_AI2021WEST3353"/>
        <s v="HCP_PDA2021SOUTHEAST334626"/>
        <s v="HCP_AI2021MIDWEST331821"/>
        <s v="HCP_AI2020SOUTHEAST333524"/>
        <s v="HCP_IG2020WEST332115"/>
        <s v="HCP_AI2020WEST332024"/>
        <s v="HCP_AI2020SOUTHEAST33422"/>
        <s v="HCP_AI2021MIDWEST324319"/>
        <s v="HCP_AI2021NORTHEAST323127"/>
        <s v="HCP_AI2020NORTHEAST3214"/>
        <s v="HCP_AI2020NORTHEAST324321"/>
        <s v="HCP_AI2020SOUTHEAST321622"/>
        <s v="HCP_IM2020CENTRAL323510"/>
        <s v="HCP_AI2021SOUTHEAST312418"/>
        <s v="HCP_AI2021CENTRAL31314"/>
        <s v="HCP_AI2021WEST311523"/>
        <s v="HCP_AI2021WEST31715"/>
        <s v="HCP_AI2020NORTHEAST3136"/>
        <s v="HCP_AI2020MIDWEST3127"/>
        <s v="HCP_PDA2020MIDWEST31393"/>
        <s v="HCP_AI2021SOUTHEAST303913"/>
        <s v="HCP_AI2021SOUTHEAST30728"/>
        <s v="HCP_PDA2020CENTRAL303510"/>
        <s v="HCP_AI2021WEST29190"/>
        <s v="HCP_AI2020NORTHEAST294425"/>
        <s v="HCP_PDA2020SOUTHEAST293421"/>
        <s v="HCP_AI2022WEST283728"/>
        <s v="HCP_AI2021WEST283619"/>
        <s v="HCP_AI2020SOUTHEAST282811"/>
        <s v="HCP_AI2020SOUTHEAST282329"/>
        <s v="HCP_IM2020NORTHEAST281512"/>
        <s v="HCP_AI2020SOUTHEAST28125"/>
        <s v="HCP_AI2020CENTRAL284620"/>
        <s v="HCP_PDA2021WEST274516"/>
        <s v="HCP_AI2021WEST2682"/>
        <s v="HCP_PD2021WEST26403"/>
        <s v="HCP_AI2021MIDWEST2663"/>
        <s v="HCP_AI2020CENTRAL26197"/>
        <s v="HCP_FM2021CENTRAL254825"/>
        <s v="HCP_AI2021NORTHEAST2522"/>
        <s v="HCP_AI2020MIDWEST2549"/>
        <s v="HCP_AI2020CENTRAL25247"/>
        <s v="HCP_AI2021CENTRAL24224"/>
        <s v="HCP_AI2021CENTRAL241422"/>
        <s v="HCP_AI2021NORTHEAST243220"/>
        <s v="HCP_PDA2021MIDWEST242526"/>
        <s v="HCP_AI2020WEST243517"/>
        <s v="HCP_AI2020WEST245014"/>
        <s v="HCP_AI2021NORTHEAST232212"/>
        <s v="HCP_PDA2021CENTRAL23345"/>
        <s v="HCP_AI2020MIDWEST23242"/>
        <s v="HCP_AI2020NORTHEAST231216"/>
        <s v="HCP_AI2020NORTHEAST232217"/>
        <s v="HCP_AI2020WEST223726"/>
        <s v="HCP_AI2021CENTRAL22529"/>
        <s v="HCP_AI2020MIDWEST223920"/>
        <s v="HCP_AI2020SOUTHEAST221320"/>
        <s v="HCP_AI2021NORTHEAST212610"/>
        <s v="HCP_PDA2021SOUTHEAST21371"/>
        <s v="HCP_AI2021CENTRAL213423"/>
        <s v="HCP_PDA2021MIDWEST214722"/>
        <s v="HCP_AI2021NORTHEAST214815"/>
        <s v="HCP_AI2020MIDWEST214626"/>
        <s v="HCP_AI2020MIDWEST21351"/>
        <s v="HCP_AI2020MIDWEST211217"/>
        <s v="HCP_PD2020MIDWEST21118"/>
        <s v="HCP_AI2021CENTRAL20812"/>
        <s v="HCP_PD2021WEST201610"/>
        <s v="HCP_AI2021MIDWEST204124"/>
        <s v="HCP_PDA2021NORTHEAST20408"/>
        <s v="HCP_AI2020NORTHEAST202925"/>
        <s v="HCP_AI2020CENTRAL204227"/>
        <s v="HCP_PDA2020NORTHEAST201728"/>
        <s v="HCP_AI2020CENTRAL202412"/>
        <s v="HCP_AI2020WEST203929"/>
        <s v="HCP_AI2022NORTHEAST19926"/>
        <s v="HCP_UP2020SOUTHEAST19287"/>
        <s v="HCP_AI2020NORTHEAST19817"/>
        <s v="HCP_PDA2021CENTRAL181727"/>
        <s v="HCP_PDA2021MIDWEST182416"/>
        <s v="HCP_PD2021SOUTHEAST183321"/>
        <s v="HCP_PDA2021WEST183427"/>
        <s v="HCP_AI2022CENTRAL173622"/>
        <s v="HCP_AI2021CENTRAL172520"/>
        <s v="HCP_FM2021NA173323"/>
        <s v="HCP_AI2021SOUTHEAST17117"/>
        <s v="HCP_FM2020SOUTHEAST17141"/>
        <s v="HCP_PD2021WEST17914"/>
        <s v="HCP_PCC2020SOUTHEAST173916"/>
        <s v="HCP_FM2021WEST16119"/>
        <s v="HCP_AI2021MIDWEST16307"/>
        <s v="HCP_GP2021MIDWEST161111"/>
        <s v="HCP_PDA2021NORTHEAST16144"/>
        <s v="HCP_PDA2021NORTHEAST16421"/>
        <s v="HCP_AI2021MIDWEST165016"/>
        <s v="HCP_AI2021SOUTHEAST15238"/>
        <s v="HCP_AI2021WEST15348"/>
        <s v="HCP_AI2021WEST15113"/>
        <s v="HCP_AI2020NORTHEAST15522"/>
        <s v="HCP_AI2020MIDWEST153327"/>
        <s v="HCP_AI2020WEST152721"/>
        <s v="HCP_AI2021SOUTHEAST14406"/>
        <s v="HCP_AI2021SOUTHEAST14730"/>
        <s v="HCP_PDA2021SOUTHEAST145020"/>
        <s v="HCP_AI2020CENTRAL141011"/>
        <s v="HCP_AI2020SOUTHEAST14109"/>
        <s v="HCP_AI2020SOUTHEAST144429"/>
        <s v="HCP_AI2021NORTHEAST141320"/>
        <s v="HCP_PDA2021WEST13283"/>
        <s v="HCP_AI2020MIDWEST133010"/>
        <s v="HCP_AI2021SOUTHEAST1340"/>
        <s v="HCP_AI2021SOUTHEAST13392"/>
        <s v="HCP_AI2020NORTHEAST13266"/>
        <s v="HCP_PD2021WEST122127"/>
        <s v="HCP_PDE2021SOUTHEAST123414"/>
        <s v="HCP_AI2021WEST121916"/>
        <s v="HCP_AI2021MIDWEST112117"/>
        <s v="HCP_PDA2021SOUTHEAST11355"/>
        <s v="HCP_AI2020WEST114719"/>
        <s v="HCP_AI2021CENTRAL10443"/>
        <s v="HCP_PD2021NORTHEAST101718"/>
        <s v="HCP_AI2021SOUTHEAST1043"/>
        <s v="HCP_AI2021NORTHEAST9362"/>
        <s v="HCP_AI2021SOUTHEAST9417"/>
        <s v="HCP_AI2021SOUTHEAST9237"/>
        <s v="HCP_AI2020WEST9518"/>
        <s v="HCP_AI2021NORTHEAST81212"/>
        <s v="HCP_A2021WEST8404"/>
        <s v="HCP_AI2021NORTHEAST8492"/>
        <s v="HCP_AI2020MIDWEST81322"/>
        <s v="HCP_AI2021MIDWEST84630"/>
        <s v="HCP_AI2020MIDWEST81722"/>
        <s v="HCP_AI2020MIDWEST82123"/>
        <s v="HCP_AI2020CENTRAL84028"/>
        <s v="HCP_AI2021MIDWEST7419"/>
        <s v="HCP_AI2021MIDWEST7130"/>
        <s v="HCP_AI2021NORTHEAST74517"/>
        <s v="HCP_AI2020SOUTHEAST7175"/>
        <s v="HCP_AI2020NORTHEAST72922"/>
        <s v="HCP_PD2021CENTRAL6124"/>
        <s v="HCP_PDA2021SOUTHEAST6100"/>
        <s v="HCP_PDA2020MIDWEST62924"/>
        <s v="HCP_AI2020SOUTHEAST611"/>
        <s v="HCP_AI2020SOUTHEAST6282"/>
        <s v="HCP_PDA2021CENTRAL5827"/>
        <s v="HCP_AI2021WEST52914"/>
        <s v="HCP_AI2021MIDWEST5249"/>
        <s v="HCP_AI2021WEST53013"/>
        <s v="HCP_AI2021CENTRAL5503"/>
        <s v="HCP_AI2020NORTHEAST51227"/>
        <s v="HCP_PDA2020SOUTHEAST51122"/>
        <s v="HCP_AI2020SOUTHEAST54510"/>
        <s v="HCP_GP2020CENTRAL5427"/>
        <s v="HCP_AI2022NA4116"/>
        <s v="HCP_PDA2021MIDWEST4151"/>
        <s v="HCP_AI2020WEST45011"/>
        <s v="HCP_A2021MIDWEST3155"/>
        <s v="HCP_AI2021SOUTHEAST31510"/>
        <s v="HCP_PDA2021NORTHEAST3221"/>
        <s v="HCP_AI2020SOUTHEAST3151"/>
        <s v="HCP_PDA2022WEST24127"/>
        <s v="HCP_AI2021CENTRAL2501"/>
        <s v="HCP_AI2021MIDWEST22815"/>
        <s v="HCP_AI2020CENTRAL242"/>
        <s v="HCP_PDA2021NORTHEAST14014"/>
        <s v="HCP_AI2021MIDWEST14320"/>
        <s v="HCP_PPR2021CENTRAL11714"/>
        <s v="HCP_AI2021MIDWEST13118"/>
        <s v="HCP_AI2021SOUTHEAST1377"/>
        <s v="HCP_PDA2021MIDWEST1489"/>
        <s v="HCP_D2021WEST14823"/>
        <s v="HCP_AI2020SOUTHEAST1311"/>
        <s v="HCP_AI2021CENTRAL02530"/>
        <s v="HCP_AI2021MIDWEST02826"/>
        <s v="HCP_AI2021MIDWEST03127"/>
        <s v="HCP_AI2021MIDWEST04820"/>
        <s v="HCP_PDA2020NORTHEAST0626"/>
        <s v="HCP_PDA2020NORTHEAST02518"/>
        <s v="HCP_PDA2020MIDWEST0409"/>
        <s v="HCP_PD2020MIDWEST0021"/>
      </sharedItems>
    </cacheField>
    <cacheField name="Specialty" numFmtId="0">
      <sharedItems count="16">
        <s v="AI"/>
        <s v="PDA"/>
        <s v="IG"/>
        <s v="FM"/>
        <s v="GP"/>
        <s v="IM"/>
        <s v="A"/>
        <s v="OTO"/>
        <s v="PD"/>
        <s v="NA"/>
        <s v="PUD"/>
        <s v="UP"/>
        <s v="PCC"/>
        <s v="PDE"/>
        <s v="PPR"/>
        <s v="D"/>
      </sharedItems>
    </cacheField>
    <cacheField name="Date of 1st Dispense" numFmtId="14">
      <sharedItems containsSemiMixedTypes="0" containsNonDate="0" containsDate="1" containsString="0" minDate="2020-03-11T00:00:00" maxDate="2022-03-01T00:00:00"/>
    </cacheField>
    <cacheField name="Rx_Start_Year" numFmtId="14">
      <sharedItems count="3">
        <s v="2021"/>
        <s v="2020"/>
        <s v="2022"/>
      </sharedItems>
    </cacheField>
    <cacheField name="Date of last Dispense" numFmtId="14">
      <sharedItems containsSemiMixedTypes="0" containsNonDate="0" containsDate="1" containsString="0" minDate="2020-09-11T00:00:00" maxDate="2022-09-24T00:00:00"/>
    </cacheField>
    <cacheField name="Enrollments" numFmtId="0">
      <sharedItems containsSemiMixedTypes="0" containsString="0" containsNumber="1" containsInteger="1" minValue="0" maxValue="70"/>
    </cacheField>
    <cacheField name="NPS" numFmtId="0">
      <sharedItems containsSemiMixedTypes="0" containsString="0" containsNumber="1" containsInteger="1" minValue="0" maxValue="50"/>
    </cacheField>
    <cacheField name="Discontinuations" numFmtId="0">
      <sharedItems containsSemiMixedTypes="0" containsString="0" containsNumber="1" containsInteger="1" minValue="0" maxValue="30"/>
    </cacheField>
    <cacheField name="Area Name" numFmtId="0">
      <sharedItems/>
    </cacheField>
    <cacheField name="Active HCP" numFmtId="166">
      <sharedItems/>
    </cacheField>
    <cacheField name="Rx_Duration_Bucke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">
  <r>
    <x v="0"/>
    <x v="0"/>
    <d v="2021-10-26T00:00:00"/>
    <x v="0"/>
    <d v="2022-02-25T00:00:00"/>
    <n v="70"/>
    <n v="0"/>
    <n v="27"/>
    <s v="SOUTHEAST"/>
    <s v="Inactive"/>
    <s v="10+ Years"/>
  </r>
  <r>
    <x v="1"/>
    <x v="1"/>
    <d v="2021-03-02T00:00:00"/>
    <x v="0"/>
    <d v="2022-06-20T00:00:00"/>
    <n v="70"/>
    <n v="10"/>
    <n v="9"/>
    <s v="MIDWEST"/>
    <s v="Inactive"/>
    <s v="10+ Years"/>
  </r>
  <r>
    <x v="2"/>
    <x v="0"/>
    <d v="2021-02-25T00:00:00"/>
    <x v="0"/>
    <d v="2022-09-21T00:00:00"/>
    <n v="70"/>
    <n v="8"/>
    <n v="21"/>
    <s v="MIDWEST"/>
    <s v="Active"/>
    <s v="5-10 Years"/>
  </r>
  <r>
    <x v="3"/>
    <x v="0"/>
    <d v="2021-02-09T00:00:00"/>
    <x v="0"/>
    <d v="2022-09-19T00:00:00"/>
    <n v="70"/>
    <n v="9"/>
    <n v="30"/>
    <s v="CENTRAL"/>
    <s v="Active"/>
    <s v="10+ Years"/>
  </r>
  <r>
    <x v="4"/>
    <x v="0"/>
    <d v="2020-12-17T00:00:00"/>
    <x v="1"/>
    <d v="2021-05-14T00:00:00"/>
    <n v="70"/>
    <n v="48"/>
    <n v="22"/>
    <s v="WEST"/>
    <s v="Inactive"/>
    <s v="10+ Years"/>
  </r>
  <r>
    <x v="5"/>
    <x v="0"/>
    <d v="2020-12-03T00:00:00"/>
    <x v="1"/>
    <d v="2022-09-15T00:00:00"/>
    <n v="70"/>
    <n v="31"/>
    <n v="23"/>
    <s v="WEST"/>
    <s v="Active"/>
    <s v="10+ Years"/>
  </r>
  <r>
    <x v="6"/>
    <x v="0"/>
    <d v="2020-10-28T00:00:00"/>
    <x v="1"/>
    <d v="2021-12-28T00:00:00"/>
    <n v="70"/>
    <n v="9"/>
    <n v="24"/>
    <s v="WEST"/>
    <s v="Inactive"/>
    <s v="10+ Years"/>
  </r>
  <r>
    <x v="7"/>
    <x v="0"/>
    <d v="2020-10-13T00:00:00"/>
    <x v="1"/>
    <d v="2022-09-20T00:00:00"/>
    <n v="70"/>
    <n v="4"/>
    <n v="10"/>
    <s v="WEST"/>
    <s v="Active"/>
    <s v="10+ Years"/>
  </r>
  <r>
    <x v="8"/>
    <x v="0"/>
    <d v="2020-09-17T00:00:00"/>
    <x v="1"/>
    <d v="2021-12-13T00:00:00"/>
    <n v="70"/>
    <n v="36"/>
    <n v="16"/>
    <s v="CENTRAL"/>
    <s v="Inactive"/>
    <s v="5-10 Years"/>
  </r>
  <r>
    <x v="9"/>
    <x v="0"/>
    <d v="2020-07-21T00:00:00"/>
    <x v="1"/>
    <d v="2020-12-14T00:00:00"/>
    <n v="70"/>
    <n v="20"/>
    <n v="30"/>
    <s v="NORTHEAST"/>
    <s v="Inactive"/>
    <s v="10+ Years"/>
  </r>
  <r>
    <x v="10"/>
    <x v="0"/>
    <d v="2022-01-31T00:00:00"/>
    <x v="2"/>
    <d v="2022-08-31T00:00:00"/>
    <n v="69"/>
    <n v="28"/>
    <n v="26"/>
    <s v="WEST"/>
    <s v="Active"/>
    <s v="10+ Years"/>
  </r>
  <r>
    <x v="11"/>
    <x v="0"/>
    <d v="2021-06-29T00:00:00"/>
    <x v="0"/>
    <d v="2022-09-13T00:00:00"/>
    <n v="69"/>
    <n v="19"/>
    <n v="1"/>
    <s v="WEST"/>
    <s v="Active"/>
    <s v="10+ Years"/>
  </r>
  <r>
    <x v="12"/>
    <x v="2"/>
    <d v="2021-02-01T00:00:00"/>
    <x v="0"/>
    <d v="2022-09-12T00:00:00"/>
    <n v="69"/>
    <n v="32"/>
    <n v="18"/>
    <s v="MIDWEST"/>
    <s v="Active"/>
    <s v="0-1 Years"/>
  </r>
  <r>
    <x v="13"/>
    <x v="3"/>
    <d v="2021-04-05T00:00:00"/>
    <x v="0"/>
    <d v="2022-02-15T00:00:00"/>
    <n v="68"/>
    <n v="12"/>
    <n v="14"/>
    <s v="NORTHEAST"/>
    <s v="Inactive"/>
    <s v="10+ Years"/>
  </r>
  <r>
    <x v="14"/>
    <x v="3"/>
    <d v="2021-03-09T00:00:00"/>
    <x v="0"/>
    <d v="2022-09-21T00:00:00"/>
    <n v="68"/>
    <n v="14"/>
    <n v="16"/>
    <s v="NORTHEAST"/>
    <s v="Active"/>
    <s v="10+ Years"/>
  </r>
  <r>
    <x v="15"/>
    <x v="0"/>
    <d v="2020-09-30T00:00:00"/>
    <x v="1"/>
    <d v="2021-04-01T00:00:00"/>
    <n v="68"/>
    <n v="23"/>
    <n v="10"/>
    <s v="WEST"/>
    <s v="Inactive"/>
    <s v="10+ Years"/>
  </r>
  <r>
    <x v="16"/>
    <x v="0"/>
    <d v="2022-01-18T00:00:00"/>
    <x v="2"/>
    <d v="2022-08-30T00:00:00"/>
    <n v="67"/>
    <n v="44"/>
    <n v="5"/>
    <s v="CENTRAL"/>
    <s v="Active"/>
    <s v="5-10 Years"/>
  </r>
  <r>
    <x v="17"/>
    <x v="0"/>
    <d v="2021-08-04T00:00:00"/>
    <x v="0"/>
    <d v="2021-08-04T00:00:00"/>
    <n v="67"/>
    <n v="17"/>
    <n v="4"/>
    <s v="WEST"/>
    <s v="Inactive"/>
    <s v="3-5 Years"/>
  </r>
  <r>
    <x v="18"/>
    <x v="0"/>
    <d v="2020-10-26T00:00:00"/>
    <x v="1"/>
    <d v="2022-09-20T00:00:00"/>
    <n v="67"/>
    <n v="4"/>
    <n v="29"/>
    <s v="MIDWEST"/>
    <s v="Active"/>
    <s v="3-5 Years"/>
  </r>
  <r>
    <x v="19"/>
    <x v="1"/>
    <d v="2021-03-03T00:00:00"/>
    <x v="0"/>
    <d v="2021-11-08T00:00:00"/>
    <n v="67"/>
    <n v="11"/>
    <n v="12"/>
    <s v="NORTHEAST"/>
    <s v="Inactive"/>
    <s v="10+ Years"/>
  </r>
  <r>
    <x v="20"/>
    <x v="1"/>
    <d v="2021-02-08T00:00:00"/>
    <x v="0"/>
    <d v="2022-09-23T00:00:00"/>
    <n v="67"/>
    <n v="28"/>
    <n v="0"/>
    <s v="SOUTHEAST"/>
    <s v="Active"/>
    <s v="10+ Years"/>
  </r>
  <r>
    <x v="21"/>
    <x v="1"/>
    <d v="2021-01-11T00:00:00"/>
    <x v="0"/>
    <d v="2021-11-29T00:00:00"/>
    <n v="67"/>
    <n v="49"/>
    <n v="20"/>
    <s v="NORTHEAST"/>
    <s v="Inactive"/>
    <s v="0-1 Years"/>
  </r>
  <r>
    <x v="22"/>
    <x v="0"/>
    <d v="2020-10-26T00:00:00"/>
    <x v="1"/>
    <d v="2022-09-13T00:00:00"/>
    <n v="67"/>
    <n v="36"/>
    <n v="4"/>
    <s v="WEST"/>
    <s v="Active"/>
    <s v="10+ Years"/>
  </r>
  <r>
    <x v="23"/>
    <x v="0"/>
    <d v="2020-09-21T00:00:00"/>
    <x v="1"/>
    <d v="2022-09-21T00:00:00"/>
    <n v="67"/>
    <n v="33"/>
    <n v="2"/>
    <s v="SOUTHEAST"/>
    <s v="Active"/>
    <s v="3-5 Years"/>
  </r>
  <r>
    <x v="24"/>
    <x v="0"/>
    <d v="2021-12-08T00:00:00"/>
    <x v="0"/>
    <d v="2022-09-16T00:00:00"/>
    <n v="66"/>
    <n v="34"/>
    <n v="16"/>
    <s v="WEST"/>
    <s v="Inactive"/>
    <s v="1-3 Years"/>
  </r>
  <r>
    <x v="25"/>
    <x v="0"/>
    <d v="2021-09-20T00:00:00"/>
    <x v="0"/>
    <d v="2022-09-21T00:00:00"/>
    <n v="66"/>
    <n v="40"/>
    <n v="11"/>
    <s v="CENTRAL"/>
    <s v="Active"/>
    <s v="10+ Years"/>
  </r>
  <r>
    <x v="26"/>
    <x v="0"/>
    <d v="2021-09-14T00:00:00"/>
    <x v="0"/>
    <d v="2022-09-12T00:00:00"/>
    <n v="66"/>
    <n v="1"/>
    <n v="15"/>
    <s v="WEST"/>
    <s v="Active"/>
    <s v="10+ Years"/>
  </r>
  <r>
    <x v="27"/>
    <x v="4"/>
    <d v="2021-09-13T00:00:00"/>
    <x v="0"/>
    <d v="2022-09-16T00:00:00"/>
    <n v="66"/>
    <n v="8"/>
    <n v="30"/>
    <s v="CENTRAL"/>
    <s v="Active"/>
    <s v="10+ Years"/>
  </r>
  <r>
    <x v="28"/>
    <x v="1"/>
    <d v="2021-06-21T00:00:00"/>
    <x v="0"/>
    <d v="2021-06-21T00:00:00"/>
    <n v="66"/>
    <n v="5"/>
    <n v="20"/>
    <s v="NORTHEAST"/>
    <s v="Inactive"/>
    <s v="10+ Years"/>
  </r>
  <r>
    <x v="29"/>
    <x v="0"/>
    <d v="2021-05-12T00:00:00"/>
    <x v="0"/>
    <d v="2022-09-20T00:00:00"/>
    <n v="66"/>
    <n v="10"/>
    <n v="0"/>
    <s v="MIDWEST"/>
    <s v="Active"/>
    <s v="10+ Years"/>
  </r>
  <r>
    <x v="30"/>
    <x v="0"/>
    <d v="2020-10-19T00:00:00"/>
    <x v="1"/>
    <d v="2022-08-31T00:00:00"/>
    <n v="66"/>
    <n v="20"/>
    <n v="3"/>
    <s v="SOUTHEAST"/>
    <s v="Active"/>
    <s v="0-1 Years"/>
  </r>
  <r>
    <x v="31"/>
    <x v="0"/>
    <d v="2020-08-07T00:00:00"/>
    <x v="1"/>
    <d v="2021-10-20T00:00:00"/>
    <n v="66"/>
    <n v="44"/>
    <n v="25"/>
    <s v="CENTRAL"/>
    <s v="Inactive"/>
    <s v="1-3 Years"/>
  </r>
  <r>
    <x v="32"/>
    <x v="1"/>
    <d v="2021-08-02T00:00:00"/>
    <x v="0"/>
    <d v="2022-09-21T00:00:00"/>
    <n v="65"/>
    <n v="30"/>
    <n v="4"/>
    <s v="WEST"/>
    <s v="Active"/>
    <s v="10+ Years"/>
  </r>
  <r>
    <x v="33"/>
    <x v="0"/>
    <d v="2021-01-11T00:00:00"/>
    <x v="0"/>
    <d v="2022-06-15T00:00:00"/>
    <n v="65"/>
    <n v="23"/>
    <n v="16"/>
    <s v="WEST"/>
    <s v="Inactive"/>
    <s v="3-5 Years"/>
  </r>
  <r>
    <x v="34"/>
    <x v="0"/>
    <d v="2020-12-22T00:00:00"/>
    <x v="1"/>
    <d v="2022-09-21T00:00:00"/>
    <n v="65"/>
    <n v="29"/>
    <n v="0"/>
    <s v="WEST"/>
    <s v="Active"/>
    <s v="10+ Years"/>
  </r>
  <r>
    <x v="35"/>
    <x v="0"/>
    <d v="2021-11-03T00:00:00"/>
    <x v="0"/>
    <d v="2021-11-03T00:00:00"/>
    <n v="64"/>
    <n v="6"/>
    <n v="29"/>
    <s v="NORTHEAST"/>
    <s v="Inactive"/>
    <s v="0-1 Years"/>
  </r>
  <r>
    <x v="36"/>
    <x v="0"/>
    <d v="2021-09-13T00:00:00"/>
    <x v="0"/>
    <d v="2022-09-21T00:00:00"/>
    <n v="64"/>
    <n v="50"/>
    <n v="18"/>
    <s v="CENTRAL"/>
    <s v="Active"/>
    <s v="10+ Years"/>
  </r>
  <r>
    <x v="37"/>
    <x v="0"/>
    <d v="2021-08-11T00:00:00"/>
    <x v="0"/>
    <d v="2022-07-06T00:00:00"/>
    <n v="64"/>
    <n v="8"/>
    <n v="12"/>
    <s v="MIDWEST"/>
    <s v="Active"/>
    <s v="10+ Years"/>
  </r>
  <r>
    <x v="38"/>
    <x v="0"/>
    <d v="2021-03-02T00:00:00"/>
    <x v="0"/>
    <d v="2022-09-14T00:00:00"/>
    <n v="64"/>
    <n v="49"/>
    <n v="14"/>
    <s v="WEST"/>
    <s v="Active"/>
    <s v="10+ Years"/>
  </r>
  <r>
    <x v="39"/>
    <x v="0"/>
    <d v="2020-08-25T00:00:00"/>
    <x v="1"/>
    <d v="2022-06-28T00:00:00"/>
    <n v="64"/>
    <n v="10"/>
    <n v="19"/>
    <s v="NORTHEAST"/>
    <s v="Active"/>
    <s v="10+ Years"/>
  </r>
  <r>
    <x v="40"/>
    <x v="2"/>
    <d v="2020-06-29T00:00:00"/>
    <x v="1"/>
    <d v="2022-09-12T00:00:00"/>
    <n v="64"/>
    <n v="10"/>
    <n v="25"/>
    <s v="MIDWEST"/>
    <s v="Active"/>
    <s v="10+ Years"/>
  </r>
  <r>
    <x v="41"/>
    <x v="0"/>
    <d v="2022-02-10T00:00:00"/>
    <x v="2"/>
    <d v="2022-09-07T00:00:00"/>
    <n v="63"/>
    <n v="21"/>
    <n v="29"/>
    <s v="WEST"/>
    <s v="Active"/>
    <s v="10+ Years"/>
  </r>
  <r>
    <x v="42"/>
    <x v="5"/>
    <d v="2020-12-20T00:00:00"/>
    <x v="1"/>
    <d v="2022-01-24T00:00:00"/>
    <n v="63"/>
    <n v="33"/>
    <n v="15"/>
    <s v="WEST"/>
    <s v="Inactive"/>
    <s v="10+ Years"/>
  </r>
  <r>
    <x v="43"/>
    <x v="0"/>
    <d v="2020-10-06T00:00:00"/>
    <x v="1"/>
    <d v="2022-09-21T00:00:00"/>
    <n v="63"/>
    <n v="26"/>
    <n v="24"/>
    <s v="CENTRAL"/>
    <s v="Active"/>
    <s v="10+ Years"/>
  </r>
  <r>
    <x v="44"/>
    <x v="6"/>
    <d v="2021-04-14T00:00:00"/>
    <x v="0"/>
    <d v="2021-05-12T00:00:00"/>
    <n v="62"/>
    <n v="36"/>
    <n v="4"/>
    <s v="NORTHEAST"/>
    <s v="Inactive"/>
    <s v="10+ Years"/>
  </r>
  <r>
    <x v="45"/>
    <x v="0"/>
    <d v="2021-04-04T00:00:00"/>
    <x v="0"/>
    <d v="2022-08-30T00:00:00"/>
    <n v="62"/>
    <n v="9"/>
    <n v="19"/>
    <s v="MIDWEST"/>
    <s v="Active"/>
    <s v="3-5 Years"/>
  </r>
  <r>
    <x v="46"/>
    <x v="0"/>
    <d v="2020-10-04T00:00:00"/>
    <x v="1"/>
    <d v="2021-04-06T00:00:00"/>
    <n v="62"/>
    <n v="42"/>
    <n v="21"/>
    <s v="NORTHEAST"/>
    <s v="Inactive"/>
    <s v="10+ Years"/>
  </r>
  <r>
    <x v="47"/>
    <x v="1"/>
    <d v="2021-02-15T00:00:00"/>
    <x v="0"/>
    <d v="2022-09-22T00:00:00"/>
    <n v="62"/>
    <n v="31"/>
    <n v="11"/>
    <s v="NORTHEAST"/>
    <s v="Active"/>
    <s v="10+ Years"/>
  </r>
  <r>
    <x v="48"/>
    <x v="0"/>
    <d v="2020-12-09T00:00:00"/>
    <x v="1"/>
    <d v="2021-04-07T00:00:00"/>
    <n v="61"/>
    <n v="29"/>
    <n v="13"/>
    <s v="CENTRAL"/>
    <s v="Inactive"/>
    <s v="10+ Years"/>
  </r>
  <r>
    <x v="49"/>
    <x v="0"/>
    <d v="2020-10-05T00:00:00"/>
    <x v="1"/>
    <d v="2021-12-29T00:00:00"/>
    <n v="61"/>
    <n v="13"/>
    <n v="14"/>
    <s v="SOUTHEAST"/>
    <s v="Inactive"/>
    <s v="10+ Years"/>
  </r>
  <r>
    <x v="50"/>
    <x v="0"/>
    <d v="2020-06-01T00:00:00"/>
    <x v="1"/>
    <d v="2022-09-20T00:00:00"/>
    <n v="61"/>
    <n v="3"/>
    <n v="7"/>
    <s v="MIDWEST"/>
    <s v="Active"/>
    <s v="10+ Years"/>
  </r>
  <r>
    <x v="51"/>
    <x v="2"/>
    <d v="2021-08-16T00:00:00"/>
    <x v="0"/>
    <d v="2021-11-30T00:00:00"/>
    <n v="60"/>
    <n v="47"/>
    <n v="23"/>
    <s v="WEST"/>
    <s v="Inactive"/>
    <s v="5-10 Years"/>
  </r>
  <r>
    <x v="52"/>
    <x v="1"/>
    <d v="2021-05-03T00:00:00"/>
    <x v="0"/>
    <d v="2022-02-10T00:00:00"/>
    <n v="60"/>
    <n v="41"/>
    <n v="26"/>
    <s v="WEST"/>
    <s v="Inactive"/>
    <s v="10+ Years"/>
  </r>
  <r>
    <x v="53"/>
    <x v="0"/>
    <d v="2020-06-29T00:00:00"/>
    <x v="1"/>
    <d v="2022-09-22T00:00:00"/>
    <n v="60"/>
    <n v="11"/>
    <n v="20"/>
    <s v="SOUTHEAST"/>
    <s v="Active"/>
    <s v="10+ Years"/>
  </r>
  <r>
    <x v="54"/>
    <x v="7"/>
    <d v="2021-11-03T00:00:00"/>
    <x v="0"/>
    <d v="2022-04-18T00:00:00"/>
    <n v="59"/>
    <n v="23"/>
    <n v="3"/>
    <s v="CENTRAL"/>
    <s v="Inactive"/>
    <s v="10+ Years"/>
  </r>
  <r>
    <x v="55"/>
    <x v="0"/>
    <d v="2021-07-05T00:00:00"/>
    <x v="0"/>
    <d v="2022-09-20T00:00:00"/>
    <n v="59"/>
    <n v="6"/>
    <n v="7"/>
    <s v="WEST"/>
    <s v="Active"/>
    <s v="1-3 Years"/>
  </r>
  <r>
    <x v="56"/>
    <x v="0"/>
    <d v="2020-07-15T00:00:00"/>
    <x v="1"/>
    <d v="2022-09-16T00:00:00"/>
    <n v="59"/>
    <n v="8"/>
    <n v="16"/>
    <s v="WEST"/>
    <s v="Active"/>
    <s v="5-10 Years"/>
  </r>
  <r>
    <x v="57"/>
    <x v="0"/>
    <d v="2020-09-22T00:00:00"/>
    <x v="1"/>
    <d v="2021-09-15T00:00:00"/>
    <n v="59"/>
    <n v="20"/>
    <n v="10"/>
    <s v="SOUTHEAST"/>
    <s v="Inactive"/>
    <s v="10+ Years"/>
  </r>
  <r>
    <x v="58"/>
    <x v="0"/>
    <d v="2020-08-19T00:00:00"/>
    <x v="1"/>
    <d v="2022-09-16T00:00:00"/>
    <n v="59"/>
    <n v="46"/>
    <n v="23"/>
    <s v="SOUTHEAST"/>
    <s v="Active"/>
    <s v="5-10 Years"/>
  </r>
  <r>
    <x v="59"/>
    <x v="0"/>
    <d v="2020-05-18T00:00:00"/>
    <x v="1"/>
    <d v="2022-09-14T00:00:00"/>
    <n v="59"/>
    <n v="27"/>
    <n v="4"/>
    <s v="CENTRAL"/>
    <s v="Active"/>
    <s v="10+ Years"/>
  </r>
  <r>
    <x v="60"/>
    <x v="0"/>
    <d v="2021-09-20T00:00:00"/>
    <x v="0"/>
    <d v="2022-08-30T00:00:00"/>
    <n v="58"/>
    <n v="3"/>
    <n v="20"/>
    <s v="MIDWEST"/>
    <s v="Active"/>
    <s v="3-5 Years"/>
  </r>
  <r>
    <x v="61"/>
    <x v="0"/>
    <d v="2021-09-20T00:00:00"/>
    <x v="0"/>
    <d v="2022-09-21T00:00:00"/>
    <n v="58"/>
    <n v="22"/>
    <n v="22"/>
    <s v="NORTHEAST"/>
    <s v="Active"/>
    <s v="10+ Years"/>
  </r>
  <r>
    <x v="62"/>
    <x v="6"/>
    <d v="2021-09-01T00:00:00"/>
    <x v="0"/>
    <d v="2022-03-01T00:00:00"/>
    <n v="58"/>
    <n v="28"/>
    <n v="9"/>
    <s v="WEST"/>
    <s v="Inactive"/>
    <s v="10+ Years"/>
  </r>
  <r>
    <x v="63"/>
    <x v="0"/>
    <d v="2020-12-28T00:00:00"/>
    <x v="1"/>
    <d v="2022-09-13T00:00:00"/>
    <n v="58"/>
    <n v="35"/>
    <n v="3"/>
    <s v="SOUTHEAST"/>
    <s v="Active"/>
    <s v="5-10 Years"/>
  </r>
  <r>
    <x v="64"/>
    <x v="0"/>
    <d v="2020-12-17T00:00:00"/>
    <x v="1"/>
    <d v="2022-09-21T00:00:00"/>
    <n v="58"/>
    <n v="15"/>
    <n v="14"/>
    <s v="NORTHEAST"/>
    <s v="Active"/>
    <s v="1-3 Years"/>
  </r>
  <r>
    <x v="65"/>
    <x v="0"/>
    <d v="2020-08-31T00:00:00"/>
    <x v="1"/>
    <d v="2022-09-22T00:00:00"/>
    <n v="58"/>
    <n v="16"/>
    <n v="14"/>
    <s v="NORTHEAST"/>
    <s v="Active"/>
    <s v="10+ Years"/>
  </r>
  <r>
    <x v="66"/>
    <x v="0"/>
    <d v="2020-08-11T00:00:00"/>
    <x v="1"/>
    <d v="2021-11-11T00:00:00"/>
    <n v="58"/>
    <n v="12"/>
    <n v="7"/>
    <s v="CENTRAL"/>
    <s v="Inactive"/>
    <s v="10+ Years"/>
  </r>
  <r>
    <x v="67"/>
    <x v="1"/>
    <d v="2020-08-06T00:00:00"/>
    <x v="1"/>
    <d v="2022-09-20T00:00:00"/>
    <n v="58"/>
    <n v="17"/>
    <n v="14"/>
    <s v="NORTHEAST"/>
    <s v="Active"/>
    <s v="5-10 Years"/>
  </r>
  <r>
    <x v="68"/>
    <x v="0"/>
    <d v="2022-02-07T00:00:00"/>
    <x v="2"/>
    <d v="2022-09-20T00:00:00"/>
    <n v="57"/>
    <n v="15"/>
    <n v="28"/>
    <s v="WEST"/>
    <s v="Active"/>
    <s v="10+ Years"/>
  </r>
  <r>
    <x v="69"/>
    <x v="0"/>
    <d v="2020-09-28T00:00:00"/>
    <x v="1"/>
    <d v="2022-09-22T00:00:00"/>
    <n v="57"/>
    <n v="45"/>
    <n v="9"/>
    <s v="MIDWEST"/>
    <s v="Active"/>
    <s v="10+ Years"/>
  </r>
  <r>
    <x v="70"/>
    <x v="0"/>
    <d v="2021-04-05T00:00:00"/>
    <x v="0"/>
    <d v="2022-06-13T00:00:00"/>
    <n v="57"/>
    <n v="1"/>
    <n v="5"/>
    <s v="MIDWEST"/>
    <s v="Inactive"/>
    <s v="5-10 Years"/>
  </r>
  <r>
    <x v="71"/>
    <x v="0"/>
    <d v="2021-01-20T00:00:00"/>
    <x v="0"/>
    <d v="2022-09-08T00:00:00"/>
    <n v="57"/>
    <n v="40"/>
    <n v="23"/>
    <s v="CENTRAL"/>
    <s v="Active"/>
    <s v="3-5 Years"/>
  </r>
  <r>
    <x v="72"/>
    <x v="0"/>
    <d v="2020-12-28T00:00:00"/>
    <x v="1"/>
    <d v="2022-09-15T00:00:00"/>
    <n v="57"/>
    <n v="8"/>
    <n v="13"/>
    <s v="WEST"/>
    <s v="Active"/>
    <s v="10+ Years"/>
  </r>
  <r>
    <x v="73"/>
    <x v="1"/>
    <d v="2020-07-27T00:00:00"/>
    <x v="1"/>
    <d v="2022-09-14T00:00:00"/>
    <n v="57"/>
    <n v="40"/>
    <n v="11"/>
    <s v="MIDWEST"/>
    <s v="Active"/>
    <s v="10+ Years"/>
  </r>
  <r>
    <x v="74"/>
    <x v="0"/>
    <d v="2021-10-27T00:00:00"/>
    <x v="0"/>
    <d v="2022-04-27T00:00:00"/>
    <n v="56"/>
    <n v="1"/>
    <n v="10"/>
    <s v="NORTHEAST"/>
    <s v="Inactive"/>
    <s v="10+ Years"/>
  </r>
  <r>
    <x v="75"/>
    <x v="0"/>
    <d v="2021-10-27T00:00:00"/>
    <x v="0"/>
    <d v="2022-09-15T00:00:00"/>
    <n v="56"/>
    <n v="49"/>
    <n v="28"/>
    <s v="CENTRAL"/>
    <s v="Active"/>
    <s v="5-10 Years"/>
  </r>
  <r>
    <x v="76"/>
    <x v="0"/>
    <d v="2021-09-01T00:00:00"/>
    <x v="0"/>
    <d v="2022-07-26T00:00:00"/>
    <n v="56"/>
    <n v="24"/>
    <n v="18"/>
    <s v="WEST"/>
    <s v="Active"/>
    <s v="10+ Years"/>
  </r>
  <r>
    <x v="77"/>
    <x v="0"/>
    <d v="2021-08-11T00:00:00"/>
    <x v="0"/>
    <d v="2022-08-29T00:00:00"/>
    <n v="56"/>
    <n v="47"/>
    <n v="29"/>
    <s v="WEST"/>
    <s v="Active"/>
    <s v="10+ Years"/>
  </r>
  <r>
    <x v="78"/>
    <x v="0"/>
    <d v="2021-08-02T00:00:00"/>
    <x v="0"/>
    <d v="2022-09-22T00:00:00"/>
    <n v="56"/>
    <n v="26"/>
    <n v="6"/>
    <s v="MIDWEST"/>
    <s v="Active"/>
    <s v="10+ Years"/>
  </r>
  <r>
    <x v="79"/>
    <x v="0"/>
    <d v="2021-04-27T00:00:00"/>
    <x v="0"/>
    <d v="2022-09-23T00:00:00"/>
    <n v="56"/>
    <n v="27"/>
    <n v="2"/>
    <s v="CENTRAL"/>
    <s v="Active"/>
    <s v="5-10 Years"/>
  </r>
  <r>
    <x v="80"/>
    <x v="8"/>
    <d v="2021-01-25T00:00:00"/>
    <x v="0"/>
    <d v="2022-09-19T00:00:00"/>
    <n v="56"/>
    <n v="20"/>
    <n v="11"/>
    <s v="MIDWEST"/>
    <s v="Active"/>
    <s v="1-3 Years"/>
  </r>
  <r>
    <x v="81"/>
    <x v="0"/>
    <d v="2020-12-15T00:00:00"/>
    <x v="1"/>
    <d v="2022-09-22T00:00:00"/>
    <n v="56"/>
    <n v="43"/>
    <n v="29"/>
    <s v="MIDWEST"/>
    <s v="Active"/>
    <s v="10+ Years"/>
  </r>
  <r>
    <x v="82"/>
    <x v="0"/>
    <d v="2020-10-13T00:00:00"/>
    <x v="1"/>
    <d v="2022-08-04T00:00:00"/>
    <n v="56"/>
    <n v="9"/>
    <n v="4"/>
    <s v="SOUTHEAST"/>
    <s v="Active"/>
    <s v="10+ Years"/>
  </r>
  <r>
    <x v="83"/>
    <x v="0"/>
    <d v="2020-09-09T00:00:00"/>
    <x v="1"/>
    <d v="2021-04-02T00:00:00"/>
    <n v="56"/>
    <n v="44"/>
    <n v="19"/>
    <s v="NORTHEAST"/>
    <s v="Inactive"/>
    <s v="3-5 Years"/>
  </r>
  <r>
    <x v="84"/>
    <x v="0"/>
    <d v="2020-06-11T00:00:00"/>
    <x v="1"/>
    <d v="2022-04-13T00:00:00"/>
    <n v="56"/>
    <n v="48"/>
    <n v="16"/>
    <s v="CENTRAL"/>
    <s v="Inactive"/>
    <s v="10+ Years"/>
  </r>
  <r>
    <x v="85"/>
    <x v="1"/>
    <d v="2020-12-15T00:00:00"/>
    <x v="1"/>
    <d v="2022-09-21T00:00:00"/>
    <n v="55"/>
    <n v="9"/>
    <n v="0"/>
    <s v="MIDWEST"/>
    <s v="Active"/>
    <s v="10+ Years"/>
  </r>
  <r>
    <x v="86"/>
    <x v="0"/>
    <d v="2020-11-22T00:00:00"/>
    <x v="1"/>
    <d v="2022-09-21T00:00:00"/>
    <n v="55"/>
    <n v="15"/>
    <n v="3"/>
    <s v="SOUTHEAST"/>
    <s v="Active"/>
    <s v="0-1 Years"/>
  </r>
  <r>
    <x v="87"/>
    <x v="0"/>
    <d v="2020-11-03T00:00:00"/>
    <x v="1"/>
    <d v="2022-09-15T00:00:00"/>
    <n v="55"/>
    <n v="42"/>
    <n v="20"/>
    <s v="NORTHEAST"/>
    <s v="Active"/>
    <s v="1-3 Years"/>
  </r>
  <r>
    <x v="88"/>
    <x v="1"/>
    <d v="2021-03-08T00:00:00"/>
    <x v="0"/>
    <d v="2021-11-08T00:00:00"/>
    <n v="54"/>
    <n v="39"/>
    <n v="21"/>
    <s v="NORTHEAST"/>
    <s v="Inactive"/>
    <s v="10+ Years"/>
  </r>
  <r>
    <x v="89"/>
    <x v="1"/>
    <d v="2020-12-15T00:00:00"/>
    <x v="1"/>
    <d v="2022-04-06T00:00:00"/>
    <n v="54"/>
    <n v="34"/>
    <n v="13"/>
    <s v="NORTHEAST"/>
    <s v="Inactive"/>
    <s v="10+ Years"/>
  </r>
  <r>
    <x v="90"/>
    <x v="0"/>
    <d v="2020-10-11T00:00:00"/>
    <x v="1"/>
    <d v="2022-09-19T00:00:00"/>
    <n v="54"/>
    <n v="9"/>
    <n v="18"/>
    <s v="WEST"/>
    <s v="Active"/>
    <s v="10+ Years"/>
  </r>
  <r>
    <x v="91"/>
    <x v="0"/>
    <d v="2020-11-17T00:00:00"/>
    <x v="1"/>
    <d v="2022-09-12T00:00:00"/>
    <n v="54"/>
    <n v="22"/>
    <n v="22"/>
    <s v="WEST"/>
    <s v="Active"/>
    <s v="10+ Years"/>
  </r>
  <r>
    <x v="92"/>
    <x v="0"/>
    <d v="2022-02-14T00:00:00"/>
    <x v="2"/>
    <d v="2022-04-28T00:00:00"/>
    <n v="53"/>
    <n v="14"/>
    <n v="7"/>
    <s v="NORTHEAST"/>
    <s v="Inactive"/>
    <s v="10+ Years"/>
  </r>
  <r>
    <x v="93"/>
    <x v="1"/>
    <d v="2021-11-24T00:00:00"/>
    <x v="0"/>
    <d v="2022-09-15T00:00:00"/>
    <n v="53"/>
    <n v="47"/>
    <n v="22"/>
    <s v="CENTRAL"/>
    <s v="Active"/>
    <s v="5-10 Years"/>
  </r>
  <r>
    <x v="94"/>
    <x v="0"/>
    <d v="2021-10-24T00:00:00"/>
    <x v="0"/>
    <d v="2022-09-01T00:00:00"/>
    <n v="53"/>
    <n v="22"/>
    <n v="25"/>
    <s v="CENTRAL"/>
    <s v="Active"/>
    <s v="10+ Years"/>
  </r>
  <r>
    <x v="95"/>
    <x v="1"/>
    <d v="2021-09-30T00:00:00"/>
    <x v="0"/>
    <d v="2022-09-15T00:00:00"/>
    <n v="53"/>
    <n v="26"/>
    <n v="2"/>
    <s v="CENTRAL"/>
    <s v="Active"/>
    <s v="10+ Years"/>
  </r>
  <r>
    <x v="96"/>
    <x v="0"/>
    <d v="2021-07-19T00:00:00"/>
    <x v="0"/>
    <d v="2022-09-13T00:00:00"/>
    <n v="53"/>
    <n v="23"/>
    <n v="17"/>
    <s v="CENTRAL"/>
    <s v="Active"/>
    <s v="1-3 Years"/>
  </r>
  <r>
    <x v="97"/>
    <x v="0"/>
    <d v="2021-07-07T00:00:00"/>
    <x v="0"/>
    <d v="2022-03-17T00:00:00"/>
    <n v="53"/>
    <n v="37"/>
    <n v="16"/>
    <s v="MIDWEST"/>
    <s v="Inactive"/>
    <s v="10+ Years"/>
  </r>
  <r>
    <x v="98"/>
    <x v="0"/>
    <d v="2021-05-04T00:00:00"/>
    <x v="0"/>
    <d v="2022-06-14T00:00:00"/>
    <n v="53"/>
    <n v="15"/>
    <n v="29"/>
    <s v="NORTHEAST"/>
    <s v="Inactive"/>
    <s v="10+ Years"/>
  </r>
  <r>
    <x v="99"/>
    <x v="0"/>
    <d v="2021-04-13T00:00:00"/>
    <x v="0"/>
    <d v="2021-10-25T00:00:00"/>
    <n v="53"/>
    <n v="40"/>
    <n v="27"/>
    <s v="WEST"/>
    <s v="Inactive"/>
    <s v="10+ Years"/>
  </r>
  <r>
    <x v="100"/>
    <x v="0"/>
    <d v="2021-03-24T00:00:00"/>
    <x v="0"/>
    <d v="2022-09-21T00:00:00"/>
    <n v="53"/>
    <n v="0"/>
    <n v="17"/>
    <s v="MIDWEST"/>
    <s v="Active"/>
    <s v="10+ Years"/>
  </r>
  <r>
    <x v="101"/>
    <x v="0"/>
    <d v="2021-01-25T00:00:00"/>
    <x v="0"/>
    <d v="2022-09-12T00:00:00"/>
    <n v="53"/>
    <n v="50"/>
    <n v="22"/>
    <s v="CENTRAL"/>
    <s v="Active"/>
    <s v="10+ Years"/>
  </r>
  <r>
    <x v="102"/>
    <x v="1"/>
    <d v="2020-11-30T00:00:00"/>
    <x v="1"/>
    <d v="2021-11-29T00:00:00"/>
    <n v="53"/>
    <n v="50"/>
    <n v="16"/>
    <s v="SOUTHEAST"/>
    <s v="Inactive"/>
    <s v="10+ Years"/>
  </r>
  <r>
    <x v="103"/>
    <x v="1"/>
    <d v="2020-10-28T00:00:00"/>
    <x v="1"/>
    <d v="2022-09-08T00:00:00"/>
    <n v="53"/>
    <n v="38"/>
    <n v="18"/>
    <s v="SOUTHEAST"/>
    <s v="Active"/>
    <s v="10+ Years"/>
  </r>
  <r>
    <x v="104"/>
    <x v="6"/>
    <d v="2020-05-21T00:00:00"/>
    <x v="1"/>
    <d v="2021-11-22T00:00:00"/>
    <n v="53"/>
    <n v="14"/>
    <n v="21"/>
    <s v="MIDWEST"/>
    <s v="Inactive"/>
    <s v="10+ Years"/>
  </r>
  <r>
    <x v="105"/>
    <x v="1"/>
    <d v="2022-01-31T00:00:00"/>
    <x v="2"/>
    <d v="2022-01-31T00:00:00"/>
    <n v="52"/>
    <n v="36"/>
    <n v="16"/>
    <s v="SOUTHEAST"/>
    <s v="Inactive"/>
    <s v="10+ Years"/>
  </r>
  <r>
    <x v="106"/>
    <x v="0"/>
    <d v="2021-08-16T00:00:00"/>
    <x v="0"/>
    <d v="2022-03-30T00:00:00"/>
    <n v="52"/>
    <n v="27"/>
    <n v="14"/>
    <s v="SOUTHEAST"/>
    <s v="Inactive"/>
    <s v="10+ Years"/>
  </r>
  <r>
    <x v="107"/>
    <x v="0"/>
    <d v="2021-06-08T00:00:00"/>
    <x v="0"/>
    <d v="2022-09-22T00:00:00"/>
    <n v="52"/>
    <n v="5"/>
    <n v="29"/>
    <s v="CENTRAL"/>
    <s v="Active"/>
    <s v="10+ Years"/>
  </r>
  <r>
    <x v="108"/>
    <x v="0"/>
    <d v="2020-08-25T00:00:00"/>
    <x v="1"/>
    <d v="2021-11-29T00:00:00"/>
    <n v="52"/>
    <n v="16"/>
    <n v="27"/>
    <s v="WEST"/>
    <s v="Inactive"/>
    <s v="10+ Years"/>
  </r>
  <r>
    <x v="109"/>
    <x v="0"/>
    <d v="2020-08-05T00:00:00"/>
    <x v="1"/>
    <d v="2022-09-14T00:00:00"/>
    <n v="52"/>
    <n v="10"/>
    <n v="22"/>
    <s v="WEST"/>
    <s v="Active"/>
    <s v="10+ Years"/>
  </r>
  <r>
    <x v="110"/>
    <x v="0"/>
    <d v="2020-07-21T00:00:00"/>
    <x v="1"/>
    <d v="2022-07-14T00:00:00"/>
    <n v="52"/>
    <n v="0"/>
    <n v="12"/>
    <s v="WEST"/>
    <s v="Active"/>
    <s v="10+ Years"/>
  </r>
  <r>
    <x v="111"/>
    <x v="8"/>
    <d v="2021-12-14T00:00:00"/>
    <x v="0"/>
    <d v="2022-09-12T00:00:00"/>
    <n v="52"/>
    <n v="44"/>
    <n v="11"/>
    <s v="MIDWEST"/>
    <s v="Active"/>
    <s v="10+ Years"/>
  </r>
  <r>
    <x v="112"/>
    <x v="9"/>
    <d v="2022-02-24T00:00:00"/>
    <x v="2"/>
    <d v="2022-09-01T00:00:00"/>
    <n v="51"/>
    <n v="17"/>
    <n v="18"/>
    <s v="NA"/>
    <s v="Active"/>
    <s v="10+ Years"/>
  </r>
  <r>
    <x v="113"/>
    <x v="0"/>
    <d v="2021-12-20T00:00:00"/>
    <x v="0"/>
    <d v="2022-09-21T00:00:00"/>
    <n v="51"/>
    <n v="32"/>
    <n v="22"/>
    <s v="WEST"/>
    <s v="Active"/>
    <s v="10+ Years"/>
  </r>
  <r>
    <x v="114"/>
    <x v="0"/>
    <d v="2021-12-13T00:00:00"/>
    <x v="0"/>
    <d v="2022-09-23T00:00:00"/>
    <n v="51"/>
    <n v="2"/>
    <n v="27"/>
    <s v="WEST"/>
    <s v="Active"/>
    <s v="10+ Years"/>
  </r>
  <r>
    <x v="115"/>
    <x v="0"/>
    <d v="2021-11-29T00:00:00"/>
    <x v="0"/>
    <d v="2022-09-15T00:00:00"/>
    <n v="51"/>
    <n v="39"/>
    <n v="15"/>
    <s v="CENTRAL"/>
    <s v="Active"/>
    <s v="10+ Years"/>
  </r>
  <r>
    <x v="116"/>
    <x v="8"/>
    <d v="2021-06-28T00:00:00"/>
    <x v="0"/>
    <d v="2022-09-21T00:00:00"/>
    <n v="51"/>
    <n v="10"/>
    <n v="30"/>
    <s v="NORTHEAST"/>
    <s v="Active"/>
    <s v="10+ Years"/>
  </r>
  <r>
    <x v="117"/>
    <x v="0"/>
    <d v="2021-02-14T00:00:00"/>
    <x v="0"/>
    <d v="2022-09-21T00:00:00"/>
    <n v="51"/>
    <n v="1"/>
    <n v="11"/>
    <s v="CENTRAL"/>
    <s v="Active"/>
    <s v="10+ Years"/>
  </r>
  <r>
    <x v="118"/>
    <x v="0"/>
    <d v="2021-01-13T00:00:00"/>
    <x v="0"/>
    <d v="2022-09-14T00:00:00"/>
    <n v="51"/>
    <n v="27"/>
    <n v="13"/>
    <s v="MIDWEST"/>
    <s v="Active"/>
    <s v="10+ Years"/>
  </r>
  <r>
    <x v="119"/>
    <x v="0"/>
    <d v="2020-10-15T00:00:00"/>
    <x v="1"/>
    <d v="2021-11-04T00:00:00"/>
    <n v="51"/>
    <n v="22"/>
    <n v="28"/>
    <s v="SOUTHEAST"/>
    <s v="Inactive"/>
    <s v="10+ Years"/>
  </r>
  <r>
    <x v="120"/>
    <x v="4"/>
    <d v="2020-05-28T00:00:00"/>
    <x v="1"/>
    <d v="2022-09-07T00:00:00"/>
    <n v="51"/>
    <n v="35"/>
    <n v="23"/>
    <s v="WEST"/>
    <s v="Active"/>
    <s v="10+ Years"/>
  </r>
  <r>
    <x v="121"/>
    <x v="0"/>
    <d v="2021-11-02T00:00:00"/>
    <x v="0"/>
    <d v="2022-08-10T00:00:00"/>
    <n v="50"/>
    <n v="20"/>
    <n v="21"/>
    <s v="CENTRAL"/>
    <s v="Active"/>
    <s v="10+ Years"/>
  </r>
  <r>
    <x v="122"/>
    <x v="6"/>
    <d v="2021-08-09T00:00:00"/>
    <x v="0"/>
    <d v="2022-09-07T00:00:00"/>
    <n v="50"/>
    <n v="21"/>
    <n v="10"/>
    <s v="CENTRAL"/>
    <s v="Active"/>
    <s v="10+ Years"/>
  </r>
  <r>
    <x v="123"/>
    <x v="0"/>
    <d v="2021-08-05T00:00:00"/>
    <x v="0"/>
    <d v="2022-09-07T00:00:00"/>
    <n v="50"/>
    <n v="47"/>
    <n v="24"/>
    <s v="NORTHEAST"/>
    <s v="Active"/>
    <s v="5-10 Years"/>
  </r>
  <r>
    <x v="124"/>
    <x v="0"/>
    <d v="2021-07-19T00:00:00"/>
    <x v="0"/>
    <d v="2021-08-26T00:00:00"/>
    <n v="50"/>
    <n v="24"/>
    <n v="6"/>
    <s v="NORTHEAST"/>
    <s v="Inactive"/>
    <s v="10+ Years"/>
  </r>
  <r>
    <x v="125"/>
    <x v="0"/>
    <d v="2021-07-15T00:00:00"/>
    <x v="0"/>
    <d v="2021-12-15T00:00:00"/>
    <n v="50"/>
    <n v="6"/>
    <n v="2"/>
    <s v="WEST"/>
    <s v="Inactive"/>
    <s v="5-10 Years"/>
  </r>
  <r>
    <x v="126"/>
    <x v="0"/>
    <d v="2021-05-10T00:00:00"/>
    <x v="0"/>
    <d v="2021-09-16T00:00:00"/>
    <n v="50"/>
    <n v="10"/>
    <n v="10"/>
    <s v="SOUTHEAST"/>
    <s v="Inactive"/>
    <s v="1-3 Years"/>
  </r>
  <r>
    <x v="127"/>
    <x v="0"/>
    <d v="2021-01-13T00:00:00"/>
    <x v="0"/>
    <d v="2022-09-20T00:00:00"/>
    <n v="50"/>
    <n v="39"/>
    <n v="6"/>
    <s v="SOUTHEAST"/>
    <s v="Active"/>
    <s v="5-10 Years"/>
  </r>
  <r>
    <x v="128"/>
    <x v="0"/>
    <d v="2020-07-01T00:00:00"/>
    <x v="1"/>
    <d v="2022-09-21T00:00:00"/>
    <n v="50"/>
    <n v="46"/>
    <n v="21"/>
    <s v="CENTRAL"/>
    <s v="Active"/>
    <s v="5-10 Years"/>
  </r>
  <r>
    <x v="129"/>
    <x v="0"/>
    <d v="2020-07-01T00:00:00"/>
    <x v="1"/>
    <d v="2022-08-18T00:00:00"/>
    <n v="50"/>
    <n v="49"/>
    <n v="24"/>
    <s v="SOUTHEAST"/>
    <s v="Active"/>
    <s v="10+ Years"/>
  </r>
  <r>
    <x v="130"/>
    <x v="0"/>
    <d v="2021-11-15T00:00:00"/>
    <x v="0"/>
    <d v="2021-11-15T00:00:00"/>
    <n v="49"/>
    <n v="25"/>
    <n v="9"/>
    <s v="MIDWEST"/>
    <s v="Inactive"/>
    <s v="10+ Years"/>
  </r>
  <r>
    <x v="131"/>
    <x v="0"/>
    <d v="2021-10-12T00:00:00"/>
    <x v="0"/>
    <d v="2022-09-20T00:00:00"/>
    <n v="49"/>
    <n v="17"/>
    <n v="7"/>
    <s v="CENTRAL"/>
    <s v="Active"/>
    <s v="5-10 Years"/>
  </r>
  <r>
    <x v="132"/>
    <x v="0"/>
    <d v="2020-10-26T00:00:00"/>
    <x v="1"/>
    <d v="2020-12-08T00:00:00"/>
    <n v="49"/>
    <n v="43"/>
    <n v="20"/>
    <s v="WEST"/>
    <s v="Inactive"/>
    <s v="5-10 Years"/>
  </r>
  <r>
    <x v="133"/>
    <x v="0"/>
    <d v="2020-08-23T00:00:00"/>
    <x v="1"/>
    <d v="2021-01-31T00:00:00"/>
    <n v="49"/>
    <n v="45"/>
    <n v="2"/>
    <s v="SOUTHEAST"/>
    <s v="Inactive"/>
    <s v="10+ Years"/>
  </r>
  <r>
    <x v="134"/>
    <x v="0"/>
    <d v="2021-10-04T00:00:00"/>
    <x v="0"/>
    <d v="2022-09-21T00:00:00"/>
    <n v="48"/>
    <n v="0"/>
    <n v="11"/>
    <s v="MIDWEST"/>
    <s v="Active"/>
    <s v="1-3 Years"/>
  </r>
  <r>
    <x v="135"/>
    <x v="0"/>
    <d v="2021-04-01T00:00:00"/>
    <x v="0"/>
    <d v="2021-04-01T00:00:00"/>
    <n v="48"/>
    <n v="50"/>
    <n v="0"/>
    <s v="NORTHEAST"/>
    <s v="Inactive"/>
    <s v="10+ Years"/>
  </r>
  <r>
    <x v="136"/>
    <x v="0"/>
    <d v="2020-08-06T00:00:00"/>
    <x v="1"/>
    <d v="2022-09-19T00:00:00"/>
    <n v="48"/>
    <n v="38"/>
    <n v="26"/>
    <s v="MIDWEST"/>
    <s v="Active"/>
    <s v="0-1 Years"/>
  </r>
  <r>
    <x v="137"/>
    <x v="0"/>
    <d v="2020-07-06T00:00:00"/>
    <x v="1"/>
    <d v="2022-09-19T00:00:00"/>
    <n v="48"/>
    <n v="27"/>
    <n v="29"/>
    <s v="CENTRAL"/>
    <s v="Active"/>
    <s v="10+ Years"/>
  </r>
  <r>
    <x v="138"/>
    <x v="0"/>
    <d v="2021-07-27T00:00:00"/>
    <x v="0"/>
    <d v="2021-07-27T00:00:00"/>
    <n v="47"/>
    <n v="6"/>
    <n v="30"/>
    <s v="MIDWEST"/>
    <s v="Inactive"/>
    <s v="10+ Years"/>
  </r>
  <r>
    <x v="139"/>
    <x v="0"/>
    <d v="2021-03-09T00:00:00"/>
    <x v="0"/>
    <d v="2021-04-07T00:00:00"/>
    <n v="47"/>
    <n v="29"/>
    <n v="7"/>
    <s v="WEST"/>
    <s v="Inactive"/>
    <s v="10+ Years"/>
  </r>
  <r>
    <x v="140"/>
    <x v="1"/>
    <d v="2020-08-06T00:00:00"/>
    <x v="1"/>
    <d v="2022-09-20T00:00:00"/>
    <n v="47"/>
    <n v="4"/>
    <n v="22"/>
    <s v="SOUTHEAST"/>
    <s v="Active"/>
    <s v="5-10 Years"/>
  </r>
  <r>
    <x v="141"/>
    <x v="0"/>
    <d v="2020-05-12T00:00:00"/>
    <x v="1"/>
    <d v="2022-08-31T00:00:00"/>
    <n v="47"/>
    <n v="3"/>
    <n v="3"/>
    <s v="WEST"/>
    <s v="Active"/>
    <s v="10+ Years"/>
  </r>
  <r>
    <x v="142"/>
    <x v="0"/>
    <d v="2020-12-14T00:00:00"/>
    <x v="1"/>
    <d v="2022-09-22T00:00:00"/>
    <n v="46"/>
    <n v="35"/>
    <n v="15"/>
    <s v="SOUTHEAST"/>
    <s v="Active"/>
    <s v="1-3 Years"/>
  </r>
  <r>
    <x v="143"/>
    <x v="0"/>
    <d v="2020-11-16T00:00:00"/>
    <x v="1"/>
    <d v="2022-04-11T00:00:00"/>
    <n v="46"/>
    <n v="21"/>
    <n v="15"/>
    <s v="SOUTHEAST"/>
    <s v="Inactive"/>
    <s v="10+ Years"/>
  </r>
  <r>
    <x v="144"/>
    <x v="0"/>
    <d v="2020-10-07T00:00:00"/>
    <x v="1"/>
    <d v="2022-09-15T00:00:00"/>
    <n v="46"/>
    <n v="29"/>
    <n v="3"/>
    <s v="MIDWEST"/>
    <s v="Active"/>
    <s v="10+ Years"/>
  </r>
  <r>
    <x v="145"/>
    <x v="8"/>
    <d v="2020-07-16T00:00:00"/>
    <x v="1"/>
    <d v="2022-08-02T00:00:00"/>
    <n v="46"/>
    <n v="24"/>
    <n v="20"/>
    <s v="CENTRAL"/>
    <s v="Active"/>
    <s v="1-3 Years"/>
  </r>
  <r>
    <x v="146"/>
    <x v="0"/>
    <d v="2020-06-18T00:00:00"/>
    <x v="1"/>
    <d v="2022-09-06T00:00:00"/>
    <n v="46"/>
    <n v="33"/>
    <n v="24"/>
    <s v="WEST"/>
    <s v="Active"/>
    <s v="10+ Years"/>
  </r>
  <r>
    <x v="147"/>
    <x v="0"/>
    <d v="2020-03-17T00:00:00"/>
    <x v="1"/>
    <d v="2022-09-19T00:00:00"/>
    <n v="46"/>
    <n v="28"/>
    <n v="26"/>
    <s v="CENTRAL"/>
    <s v="Active"/>
    <s v="10+ Years"/>
  </r>
  <r>
    <x v="148"/>
    <x v="0"/>
    <d v="2021-03-09T00:00:00"/>
    <x v="0"/>
    <d v="2022-09-19T00:00:00"/>
    <n v="45"/>
    <n v="48"/>
    <n v="0"/>
    <s v="MIDWEST"/>
    <s v="Active"/>
    <s v="10+ Years"/>
  </r>
  <r>
    <x v="149"/>
    <x v="0"/>
    <d v="2021-03-03T00:00:00"/>
    <x v="0"/>
    <d v="2021-09-30T00:00:00"/>
    <n v="45"/>
    <n v="17"/>
    <n v="9"/>
    <s v="MIDWEST"/>
    <s v="Inactive"/>
    <s v="0-1 Years"/>
  </r>
  <r>
    <x v="150"/>
    <x v="0"/>
    <d v="2021-01-25T00:00:00"/>
    <x v="0"/>
    <d v="2022-09-15T00:00:00"/>
    <n v="45"/>
    <n v="20"/>
    <n v="19"/>
    <s v="WEST"/>
    <s v="Active"/>
    <s v="5-10 Years"/>
  </r>
  <r>
    <x v="151"/>
    <x v="0"/>
    <d v="2020-12-01T00:00:00"/>
    <x v="1"/>
    <d v="2022-09-12T00:00:00"/>
    <n v="45"/>
    <n v="10"/>
    <n v="25"/>
    <s v="MIDWEST"/>
    <s v="Active"/>
    <s v="10+ Years"/>
  </r>
  <r>
    <x v="152"/>
    <x v="1"/>
    <d v="2020-05-07T00:00:00"/>
    <x v="1"/>
    <d v="2022-02-15T00:00:00"/>
    <n v="45"/>
    <n v="7"/>
    <n v="29"/>
    <s v="MIDWEST"/>
    <s v="Inactive"/>
    <s v="10+ Years"/>
  </r>
  <r>
    <x v="153"/>
    <x v="0"/>
    <d v="2022-01-05T00:00:00"/>
    <x v="2"/>
    <d v="2022-08-01T00:00:00"/>
    <n v="44"/>
    <n v="28"/>
    <n v="20"/>
    <s v="WEST"/>
    <s v="Active"/>
    <s v="10+ Years"/>
  </r>
  <r>
    <x v="154"/>
    <x v="0"/>
    <d v="2021-12-28T00:00:00"/>
    <x v="0"/>
    <d v="2022-07-12T00:00:00"/>
    <n v="44"/>
    <n v="4"/>
    <n v="16"/>
    <s v="SOUTHEAST"/>
    <s v="Active"/>
    <s v="10+ Years"/>
  </r>
  <r>
    <x v="155"/>
    <x v="0"/>
    <d v="2021-03-11T00:00:00"/>
    <x v="0"/>
    <d v="2022-08-31T00:00:00"/>
    <n v="44"/>
    <n v="45"/>
    <n v="29"/>
    <s v="MIDWEST"/>
    <s v="Active"/>
    <s v="10+ Years"/>
  </r>
  <r>
    <x v="156"/>
    <x v="0"/>
    <d v="2021-01-20T00:00:00"/>
    <x v="0"/>
    <d v="2022-09-22T00:00:00"/>
    <n v="44"/>
    <n v="10"/>
    <n v="8"/>
    <s v="NORTHEAST"/>
    <s v="Active"/>
    <s v="10+ Years"/>
  </r>
  <r>
    <x v="157"/>
    <x v="0"/>
    <d v="2021-01-06T00:00:00"/>
    <x v="0"/>
    <d v="2021-11-22T00:00:00"/>
    <n v="44"/>
    <n v="15"/>
    <n v="20"/>
    <s v="WEST"/>
    <s v="Inactive"/>
    <s v="5-10 Years"/>
  </r>
  <r>
    <x v="158"/>
    <x v="0"/>
    <d v="2020-07-23T00:00:00"/>
    <x v="1"/>
    <d v="2022-09-19T00:00:00"/>
    <n v="44"/>
    <n v="19"/>
    <n v="3"/>
    <s v="WEST"/>
    <s v="Active"/>
    <s v="10+ Years"/>
  </r>
  <r>
    <x v="159"/>
    <x v="10"/>
    <d v="2021-02-18T00:00:00"/>
    <x v="0"/>
    <d v="2022-09-22T00:00:00"/>
    <n v="44"/>
    <n v="0"/>
    <n v="17"/>
    <s v="MIDWEST"/>
    <s v="Active"/>
    <s v="1-3 Years"/>
  </r>
  <r>
    <x v="160"/>
    <x v="0"/>
    <d v="2020-06-08T00:00:00"/>
    <x v="1"/>
    <d v="2022-09-20T00:00:00"/>
    <n v="44"/>
    <n v="30"/>
    <n v="6"/>
    <s v="SOUTHEAST"/>
    <s v="Active"/>
    <s v="10+ Years"/>
  </r>
  <r>
    <x v="161"/>
    <x v="1"/>
    <d v="2022-01-09T00:00:00"/>
    <x v="2"/>
    <d v="2022-07-21T00:00:00"/>
    <n v="43"/>
    <n v="30"/>
    <n v="8"/>
    <s v="MIDWEST"/>
    <s v="Active"/>
    <s v="5-10 Years"/>
  </r>
  <r>
    <x v="162"/>
    <x v="0"/>
    <d v="2021-11-02T00:00:00"/>
    <x v="0"/>
    <d v="2022-09-21T00:00:00"/>
    <n v="43"/>
    <n v="26"/>
    <n v="18"/>
    <s v="NORTHEAST"/>
    <s v="Active"/>
    <s v="5-10 Years"/>
  </r>
  <r>
    <x v="163"/>
    <x v="0"/>
    <d v="2021-08-02T00:00:00"/>
    <x v="0"/>
    <d v="2022-06-16T00:00:00"/>
    <n v="43"/>
    <n v="3"/>
    <n v="24"/>
    <s v="MIDWEST"/>
    <s v="Inactive"/>
    <s v="10+ Years"/>
  </r>
  <r>
    <x v="164"/>
    <x v="3"/>
    <d v="2020-11-05T00:00:00"/>
    <x v="1"/>
    <d v="2021-06-29T00:00:00"/>
    <n v="43"/>
    <n v="37"/>
    <n v="3"/>
    <s v="CENTRAL"/>
    <s v="Inactive"/>
    <s v="10+ Years"/>
  </r>
  <r>
    <x v="165"/>
    <x v="0"/>
    <d v="2020-09-24T00:00:00"/>
    <x v="1"/>
    <d v="2020-09-24T00:00:00"/>
    <n v="43"/>
    <n v="12"/>
    <n v="6"/>
    <s v="WEST"/>
    <s v="Inactive"/>
    <s v="1-3 Years"/>
  </r>
  <r>
    <x v="166"/>
    <x v="0"/>
    <d v="2020-09-23T00:00:00"/>
    <x v="1"/>
    <d v="2022-09-20T00:00:00"/>
    <n v="43"/>
    <n v="14"/>
    <n v="12"/>
    <s v="SOUTHEAST"/>
    <s v="Active"/>
    <s v="5-10 Years"/>
  </r>
  <r>
    <x v="167"/>
    <x v="0"/>
    <d v="2020-07-30T00:00:00"/>
    <x v="1"/>
    <d v="2022-09-21T00:00:00"/>
    <n v="43"/>
    <n v="33"/>
    <n v="20"/>
    <s v="CENTRAL"/>
    <s v="Active"/>
    <s v="10+ Years"/>
  </r>
  <r>
    <x v="168"/>
    <x v="0"/>
    <d v="2020-07-09T00:00:00"/>
    <x v="1"/>
    <d v="2022-08-23T00:00:00"/>
    <n v="43"/>
    <n v="24"/>
    <n v="23"/>
    <s v="MIDWEST"/>
    <s v="Active"/>
    <s v="10+ Years"/>
  </r>
  <r>
    <x v="169"/>
    <x v="0"/>
    <d v="2021-02-09T00:00:00"/>
    <x v="0"/>
    <d v="2022-09-22T00:00:00"/>
    <n v="43"/>
    <n v="28"/>
    <n v="29"/>
    <s v="SOUTHEAST"/>
    <s v="Active"/>
    <s v="10+ Years"/>
  </r>
  <r>
    <x v="170"/>
    <x v="0"/>
    <d v="2020-09-07T00:00:00"/>
    <x v="1"/>
    <d v="2022-09-22T00:00:00"/>
    <n v="42"/>
    <n v="13"/>
    <n v="11"/>
    <s v="NORTHEAST"/>
    <s v="Active"/>
    <s v="10+ Years"/>
  </r>
  <r>
    <x v="171"/>
    <x v="0"/>
    <d v="2020-09-23T00:00:00"/>
    <x v="1"/>
    <d v="2022-09-22T00:00:00"/>
    <n v="42"/>
    <n v="8"/>
    <n v="13"/>
    <s v="WEST"/>
    <s v="Active"/>
    <s v="10+ Years"/>
  </r>
  <r>
    <x v="172"/>
    <x v="6"/>
    <d v="2020-09-21T00:00:00"/>
    <x v="1"/>
    <d v="2022-09-07T00:00:00"/>
    <n v="42"/>
    <n v="33"/>
    <n v="16"/>
    <s v="MIDWEST"/>
    <s v="Active"/>
    <s v="10+ Years"/>
  </r>
  <r>
    <x v="173"/>
    <x v="0"/>
    <d v="2020-09-08T00:00:00"/>
    <x v="1"/>
    <d v="2022-08-31T00:00:00"/>
    <n v="42"/>
    <n v="18"/>
    <n v="14"/>
    <s v="CENTRAL"/>
    <s v="Active"/>
    <s v="10+ Years"/>
  </r>
  <r>
    <x v="174"/>
    <x v="6"/>
    <d v="2022-02-22T00:00:00"/>
    <x v="2"/>
    <d v="2022-09-21T00:00:00"/>
    <n v="41"/>
    <n v="35"/>
    <n v="7"/>
    <s v="MIDWEST"/>
    <s v="Active"/>
    <s v="10+ Years"/>
  </r>
  <r>
    <x v="175"/>
    <x v="0"/>
    <d v="2021-12-29T00:00:00"/>
    <x v="0"/>
    <d v="2022-06-22T00:00:00"/>
    <n v="41"/>
    <n v="6"/>
    <n v="15"/>
    <s v="SOUTHEAST"/>
    <s v="Inactive"/>
    <s v="5-10 Years"/>
  </r>
  <r>
    <x v="176"/>
    <x v="7"/>
    <d v="2021-11-03T00:00:00"/>
    <x v="0"/>
    <d v="2022-03-02T00:00:00"/>
    <n v="41"/>
    <n v="28"/>
    <n v="9"/>
    <s v="CENTRAL"/>
    <s v="Inactive"/>
    <s v="10+ Years"/>
  </r>
  <r>
    <x v="177"/>
    <x v="0"/>
    <d v="2021-07-29T00:00:00"/>
    <x v="0"/>
    <d v="2021-10-25T00:00:00"/>
    <n v="41"/>
    <n v="25"/>
    <n v="14"/>
    <s v="SOUTHEAST"/>
    <s v="Inactive"/>
    <s v="5-10 Years"/>
  </r>
  <r>
    <x v="178"/>
    <x v="3"/>
    <d v="2021-03-09T00:00:00"/>
    <x v="0"/>
    <d v="2022-08-31T00:00:00"/>
    <n v="41"/>
    <n v="21"/>
    <n v="3"/>
    <s v="MIDWEST"/>
    <s v="Active"/>
    <s v="10+ Years"/>
  </r>
  <r>
    <x v="179"/>
    <x v="0"/>
    <d v="2021-01-25T00:00:00"/>
    <x v="0"/>
    <d v="2022-09-22T00:00:00"/>
    <n v="41"/>
    <n v="47"/>
    <n v="8"/>
    <s v="CENTRAL"/>
    <s v="Active"/>
    <s v="1-3 Years"/>
  </r>
  <r>
    <x v="180"/>
    <x v="0"/>
    <d v="2020-12-28T00:00:00"/>
    <x v="1"/>
    <d v="2022-09-15T00:00:00"/>
    <n v="41"/>
    <n v="2"/>
    <n v="1"/>
    <s v="WEST"/>
    <s v="Active"/>
    <s v="5-10 Years"/>
  </r>
  <r>
    <x v="181"/>
    <x v="8"/>
    <d v="2020-11-10T00:00:00"/>
    <x v="1"/>
    <d v="2022-09-21T00:00:00"/>
    <n v="41"/>
    <n v="13"/>
    <n v="25"/>
    <s v="NORTHEAST"/>
    <s v="Active"/>
    <s v="0-1 Years"/>
  </r>
  <r>
    <x v="182"/>
    <x v="0"/>
    <d v="2020-07-21T00:00:00"/>
    <x v="1"/>
    <d v="2021-03-15T00:00:00"/>
    <n v="41"/>
    <n v="10"/>
    <n v="28"/>
    <s v="MIDWEST"/>
    <s v="Inactive"/>
    <s v="10+ Years"/>
  </r>
  <r>
    <x v="183"/>
    <x v="0"/>
    <d v="2021-10-13T00:00:00"/>
    <x v="0"/>
    <d v="2022-04-01T00:00:00"/>
    <n v="40"/>
    <n v="23"/>
    <n v="19"/>
    <s v="NORTHEAST"/>
    <s v="Inactive"/>
    <s v="10+ Years"/>
  </r>
  <r>
    <x v="184"/>
    <x v="0"/>
    <d v="2021-10-12T00:00:00"/>
    <x v="0"/>
    <d v="2022-07-06T00:00:00"/>
    <n v="40"/>
    <n v="24"/>
    <n v="17"/>
    <s v="CENTRAL"/>
    <s v="Active"/>
    <s v="10+ Years"/>
  </r>
  <r>
    <x v="185"/>
    <x v="0"/>
    <d v="2021-02-25T00:00:00"/>
    <x v="0"/>
    <d v="2022-07-07T00:00:00"/>
    <n v="40"/>
    <n v="8"/>
    <n v="0"/>
    <s v="SOUTHEAST"/>
    <s v="Active"/>
    <s v="10+ Years"/>
  </r>
  <r>
    <x v="186"/>
    <x v="0"/>
    <d v="2020-09-16T00:00:00"/>
    <x v="1"/>
    <d v="2022-09-20T00:00:00"/>
    <n v="40"/>
    <n v="42"/>
    <n v="24"/>
    <s v="CENTRAL"/>
    <s v="Active"/>
    <s v="0-1 Years"/>
  </r>
  <r>
    <x v="187"/>
    <x v="1"/>
    <d v="2020-09-09T00:00:00"/>
    <x v="1"/>
    <d v="2021-02-08T00:00:00"/>
    <n v="40"/>
    <n v="36"/>
    <n v="5"/>
    <s v="MIDWEST"/>
    <s v="Inactive"/>
    <s v="10+ Years"/>
  </r>
  <r>
    <x v="188"/>
    <x v="6"/>
    <d v="2021-10-06T00:00:00"/>
    <x v="0"/>
    <d v="2022-09-22T00:00:00"/>
    <n v="39"/>
    <n v="11"/>
    <n v="0"/>
    <s v="MIDWEST"/>
    <s v="Active"/>
    <s v="3-5 Years"/>
  </r>
  <r>
    <x v="189"/>
    <x v="1"/>
    <d v="2021-11-16T00:00:00"/>
    <x v="0"/>
    <d v="2022-09-21T00:00:00"/>
    <n v="38"/>
    <n v="41"/>
    <n v="4"/>
    <s v="MIDWEST"/>
    <s v="Active"/>
    <s v="0-1 Years"/>
  </r>
  <r>
    <x v="190"/>
    <x v="0"/>
    <d v="2021-09-20T00:00:00"/>
    <x v="0"/>
    <d v="2022-09-20T00:00:00"/>
    <n v="38"/>
    <n v="7"/>
    <n v="27"/>
    <s v="SOUTHEAST"/>
    <s v="Active"/>
    <s v="3-5 Years"/>
  </r>
  <r>
    <x v="191"/>
    <x v="0"/>
    <d v="2021-05-20T00:00:00"/>
    <x v="0"/>
    <d v="2022-09-15T00:00:00"/>
    <n v="38"/>
    <n v="35"/>
    <n v="29"/>
    <s v="MIDWEST"/>
    <s v="Active"/>
    <s v="10+ Years"/>
  </r>
  <r>
    <x v="192"/>
    <x v="0"/>
    <d v="2021-04-28T00:00:00"/>
    <x v="0"/>
    <d v="2022-09-12T00:00:00"/>
    <n v="38"/>
    <n v="39"/>
    <n v="18"/>
    <s v="MIDWEST"/>
    <s v="Active"/>
    <s v="10+ Years"/>
  </r>
  <r>
    <x v="193"/>
    <x v="0"/>
    <d v="2022-02-21T00:00:00"/>
    <x v="2"/>
    <d v="2022-08-23T00:00:00"/>
    <n v="37"/>
    <n v="7"/>
    <n v="14"/>
    <s v="MIDWEST"/>
    <s v="Active"/>
    <s v="10+ Years"/>
  </r>
  <r>
    <x v="194"/>
    <x v="0"/>
    <d v="2022-01-25T00:00:00"/>
    <x v="2"/>
    <d v="2022-09-21T00:00:00"/>
    <n v="37"/>
    <n v="29"/>
    <n v="0"/>
    <s v="NORTHEAST"/>
    <s v="Active"/>
    <s v="10+ Years"/>
  </r>
  <r>
    <x v="195"/>
    <x v="0"/>
    <d v="2021-11-22T00:00:00"/>
    <x v="0"/>
    <d v="2022-09-13T00:00:00"/>
    <n v="37"/>
    <n v="37"/>
    <n v="9"/>
    <s v="WEST"/>
    <s v="Active"/>
    <s v="0-1 Years"/>
  </r>
  <r>
    <x v="196"/>
    <x v="8"/>
    <d v="2021-07-26T00:00:00"/>
    <x v="0"/>
    <d v="2022-09-18T00:00:00"/>
    <n v="37"/>
    <n v="46"/>
    <n v="16"/>
    <s v="MIDWEST"/>
    <s v="Active"/>
    <s v="5-10 Years"/>
  </r>
  <r>
    <x v="197"/>
    <x v="0"/>
    <d v="2020-11-02T00:00:00"/>
    <x v="1"/>
    <d v="2022-09-22T00:00:00"/>
    <n v="37"/>
    <n v="36"/>
    <n v="2"/>
    <s v="WEST"/>
    <s v="Active"/>
    <s v="10+ Years"/>
  </r>
  <r>
    <x v="198"/>
    <x v="0"/>
    <d v="2020-08-24T00:00:00"/>
    <x v="1"/>
    <d v="2021-12-06T00:00:00"/>
    <n v="37"/>
    <n v="40"/>
    <n v="6"/>
    <s v="NORTHEAST"/>
    <s v="Inactive"/>
    <s v="1-3 Years"/>
  </r>
  <r>
    <x v="199"/>
    <x v="1"/>
    <d v="2022-02-10T00:00:00"/>
    <x v="2"/>
    <d v="2022-09-22T00:00:00"/>
    <n v="36"/>
    <n v="43"/>
    <n v="4"/>
    <s v="CENTRAL"/>
    <s v="Active"/>
    <s v="5-10 Years"/>
  </r>
  <r>
    <x v="200"/>
    <x v="3"/>
    <d v="2022-02-08T00:00:00"/>
    <x v="2"/>
    <d v="2022-09-21T00:00:00"/>
    <n v="36"/>
    <n v="34"/>
    <n v="7"/>
    <s v="CENTRAL"/>
    <s v="Active"/>
    <s v="3-5 Years"/>
  </r>
  <r>
    <x v="201"/>
    <x v="1"/>
    <d v="2020-08-11T00:00:00"/>
    <x v="1"/>
    <d v="2022-09-22T00:00:00"/>
    <n v="36"/>
    <n v="9"/>
    <n v="15"/>
    <s v="NORTHEAST"/>
    <s v="Active"/>
    <s v="5-10 Years"/>
  </r>
  <r>
    <x v="202"/>
    <x v="1"/>
    <d v="2021-03-30T00:00:00"/>
    <x v="0"/>
    <d v="2022-09-19T00:00:00"/>
    <n v="36"/>
    <n v="45"/>
    <n v="14"/>
    <s v="WEST"/>
    <s v="Active"/>
    <s v="10+ Years"/>
  </r>
  <r>
    <x v="203"/>
    <x v="0"/>
    <d v="2020-12-15T00:00:00"/>
    <x v="1"/>
    <d v="2022-09-19T00:00:00"/>
    <n v="36"/>
    <n v="3"/>
    <n v="23"/>
    <s v="NORTHEAST"/>
    <s v="Active"/>
    <s v="10+ Years"/>
  </r>
  <r>
    <x v="204"/>
    <x v="6"/>
    <d v="2020-10-28T00:00:00"/>
    <x v="1"/>
    <d v="2022-09-14T00:00:00"/>
    <n v="36"/>
    <n v="1"/>
    <n v="30"/>
    <s v="MIDWEST"/>
    <s v="Active"/>
    <s v="10+ Years"/>
  </r>
  <r>
    <x v="205"/>
    <x v="1"/>
    <d v="2020-08-24T00:00:00"/>
    <x v="1"/>
    <d v="2022-09-21T00:00:00"/>
    <n v="36"/>
    <n v="12"/>
    <n v="24"/>
    <s v="SOUTHEAST"/>
    <s v="Active"/>
    <s v="10+ Years"/>
  </r>
  <r>
    <x v="206"/>
    <x v="0"/>
    <d v="2020-06-15T00:00:00"/>
    <x v="1"/>
    <d v="2022-08-30T00:00:00"/>
    <n v="36"/>
    <n v="4"/>
    <n v="22"/>
    <s v="MIDWEST"/>
    <s v="Active"/>
    <s v="10+ Years"/>
  </r>
  <r>
    <x v="207"/>
    <x v="0"/>
    <d v="2021-10-18T00:00:00"/>
    <x v="0"/>
    <d v="2022-08-31T00:00:00"/>
    <n v="35"/>
    <n v="16"/>
    <n v="14"/>
    <s v="SOUTHEAST"/>
    <s v="Active"/>
    <s v="10+ Years"/>
  </r>
  <r>
    <x v="208"/>
    <x v="1"/>
    <d v="2020-08-17T00:00:00"/>
    <x v="1"/>
    <d v="2022-09-23T00:00:00"/>
    <n v="34"/>
    <n v="1"/>
    <n v="8"/>
    <s v="MIDWEST"/>
    <s v="Active"/>
    <s v="10+ Years"/>
  </r>
  <r>
    <x v="209"/>
    <x v="0"/>
    <d v="2020-10-14T00:00:00"/>
    <x v="1"/>
    <d v="2020-10-14T00:00:00"/>
    <n v="34"/>
    <n v="1"/>
    <n v="1"/>
    <s v="CENTRAL"/>
    <s v="Inactive"/>
    <s v="5-10 Years"/>
  </r>
  <r>
    <x v="210"/>
    <x v="0"/>
    <d v="2020-10-07T00:00:00"/>
    <x v="1"/>
    <d v="2022-09-19T00:00:00"/>
    <n v="34"/>
    <n v="7"/>
    <n v="4"/>
    <s v="MIDWEST"/>
    <s v="Active"/>
    <s v="0-1 Years"/>
  </r>
  <r>
    <x v="211"/>
    <x v="0"/>
    <d v="2020-07-15T00:00:00"/>
    <x v="1"/>
    <d v="2022-09-22T00:00:00"/>
    <n v="34"/>
    <n v="46"/>
    <n v="6"/>
    <s v="SOUTHEAST"/>
    <s v="Active"/>
    <s v="3-5 Years"/>
  </r>
  <r>
    <x v="212"/>
    <x v="0"/>
    <d v="2021-11-18T00:00:00"/>
    <x v="0"/>
    <d v="2022-06-15T00:00:00"/>
    <n v="33"/>
    <n v="5"/>
    <n v="3"/>
    <s v="WEST"/>
    <s v="Inactive"/>
    <s v="5-10 Years"/>
  </r>
  <r>
    <x v="213"/>
    <x v="1"/>
    <d v="2021-02-14T00:00:00"/>
    <x v="0"/>
    <d v="2022-06-22T00:00:00"/>
    <n v="33"/>
    <n v="46"/>
    <n v="26"/>
    <s v="SOUTHEAST"/>
    <s v="Inactive"/>
    <s v="1-3 Years"/>
  </r>
  <r>
    <x v="214"/>
    <x v="0"/>
    <d v="2021-01-06T00:00:00"/>
    <x v="0"/>
    <d v="2022-04-07T00:00:00"/>
    <n v="33"/>
    <n v="18"/>
    <n v="21"/>
    <s v="MIDWEST"/>
    <s v="Inactive"/>
    <s v="10+ Years"/>
  </r>
  <r>
    <x v="215"/>
    <x v="0"/>
    <d v="2020-07-17T00:00:00"/>
    <x v="1"/>
    <d v="2022-06-16T00:00:00"/>
    <n v="33"/>
    <n v="35"/>
    <n v="24"/>
    <s v="SOUTHEAST"/>
    <s v="Inactive"/>
    <s v="10+ Years"/>
  </r>
  <r>
    <x v="216"/>
    <x v="2"/>
    <d v="2020-07-13T00:00:00"/>
    <x v="1"/>
    <d v="2022-09-15T00:00:00"/>
    <n v="33"/>
    <n v="21"/>
    <n v="15"/>
    <s v="WEST"/>
    <s v="Active"/>
    <s v="10+ Years"/>
  </r>
  <r>
    <x v="217"/>
    <x v="0"/>
    <d v="2020-06-15T00:00:00"/>
    <x v="1"/>
    <d v="2022-09-22T00:00:00"/>
    <n v="33"/>
    <n v="20"/>
    <n v="24"/>
    <s v="WEST"/>
    <s v="Active"/>
    <s v="10+ Years"/>
  </r>
  <r>
    <x v="218"/>
    <x v="0"/>
    <d v="2020-06-10T00:00:00"/>
    <x v="1"/>
    <d v="2022-08-11T00:00:00"/>
    <n v="33"/>
    <n v="4"/>
    <n v="22"/>
    <s v="SOUTHEAST"/>
    <s v="Active"/>
    <s v="10+ Years"/>
  </r>
  <r>
    <x v="219"/>
    <x v="0"/>
    <d v="2021-09-20T00:00:00"/>
    <x v="0"/>
    <d v="2022-09-08T00:00:00"/>
    <n v="32"/>
    <n v="43"/>
    <n v="19"/>
    <s v="MIDWEST"/>
    <s v="Active"/>
    <s v="10+ Years"/>
  </r>
  <r>
    <x v="220"/>
    <x v="0"/>
    <d v="2021-08-24T00:00:00"/>
    <x v="0"/>
    <d v="2022-06-06T00:00:00"/>
    <n v="32"/>
    <n v="31"/>
    <n v="27"/>
    <s v="NORTHEAST"/>
    <s v="Inactive"/>
    <s v="10+ Years"/>
  </r>
  <r>
    <x v="221"/>
    <x v="0"/>
    <d v="2020-07-01T00:00:00"/>
    <x v="1"/>
    <d v="2022-04-19T00:00:00"/>
    <n v="32"/>
    <n v="1"/>
    <n v="4"/>
    <s v="NORTHEAST"/>
    <s v="Inactive"/>
    <s v="10+ Years"/>
  </r>
  <r>
    <x v="222"/>
    <x v="0"/>
    <d v="2020-06-22T00:00:00"/>
    <x v="1"/>
    <d v="2022-08-01T00:00:00"/>
    <n v="32"/>
    <n v="43"/>
    <n v="21"/>
    <s v="NORTHEAST"/>
    <s v="Active"/>
    <s v="3-5 Years"/>
  </r>
  <r>
    <x v="223"/>
    <x v="0"/>
    <d v="2020-06-09T00:00:00"/>
    <x v="1"/>
    <d v="2022-09-20T00:00:00"/>
    <n v="32"/>
    <n v="16"/>
    <n v="22"/>
    <s v="SOUTHEAST"/>
    <s v="Active"/>
    <s v="10+ Years"/>
  </r>
  <r>
    <x v="224"/>
    <x v="5"/>
    <d v="2020-05-21T00:00:00"/>
    <x v="1"/>
    <d v="2022-09-13T00:00:00"/>
    <n v="32"/>
    <n v="35"/>
    <n v="10"/>
    <s v="CENTRAL"/>
    <s v="Active"/>
    <s v="10+ Years"/>
  </r>
  <r>
    <x v="225"/>
    <x v="0"/>
    <d v="2021-12-15T00:00:00"/>
    <x v="0"/>
    <d v="2022-07-27T00:00:00"/>
    <n v="31"/>
    <n v="24"/>
    <n v="18"/>
    <s v="SOUTHEAST"/>
    <s v="Active"/>
    <s v="5-10 Years"/>
  </r>
  <r>
    <x v="226"/>
    <x v="0"/>
    <d v="2021-11-14T00:00:00"/>
    <x v="0"/>
    <d v="2022-05-10T00:00:00"/>
    <n v="31"/>
    <n v="3"/>
    <n v="14"/>
    <s v="CENTRAL"/>
    <s v="Inactive"/>
    <s v="10+ Years"/>
  </r>
  <r>
    <x v="227"/>
    <x v="0"/>
    <d v="2021-09-22T00:00:00"/>
    <x v="0"/>
    <d v="2022-06-07T00:00:00"/>
    <n v="31"/>
    <n v="15"/>
    <n v="23"/>
    <s v="WEST"/>
    <s v="Inactive"/>
    <s v="10+ Years"/>
  </r>
  <r>
    <x v="228"/>
    <x v="0"/>
    <d v="2021-09-06T00:00:00"/>
    <x v="0"/>
    <d v="2021-09-06T00:00:00"/>
    <n v="31"/>
    <n v="7"/>
    <n v="15"/>
    <s v="WEST"/>
    <s v="Inactive"/>
    <s v="10+ Years"/>
  </r>
  <r>
    <x v="229"/>
    <x v="0"/>
    <d v="2020-08-12T00:00:00"/>
    <x v="1"/>
    <d v="2022-09-19T00:00:00"/>
    <n v="31"/>
    <n v="3"/>
    <n v="6"/>
    <s v="NORTHEAST"/>
    <s v="Active"/>
    <s v="10+ Years"/>
  </r>
  <r>
    <x v="230"/>
    <x v="0"/>
    <d v="2020-09-24T00:00:00"/>
    <x v="1"/>
    <d v="2022-09-15T00:00:00"/>
    <n v="31"/>
    <n v="2"/>
    <n v="7"/>
    <s v="MIDWEST"/>
    <s v="Active"/>
    <s v="5-10 Years"/>
  </r>
  <r>
    <x v="231"/>
    <x v="1"/>
    <d v="2020-09-29T00:00:00"/>
    <x v="1"/>
    <d v="2022-09-20T00:00:00"/>
    <n v="31"/>
    <n v="39"/>
    <n v="3"/>
    <s v="MIDWEST"/>
    <s v="Active"/>
    <s v="5-10 Years"/>
  </r>
  <r>
    <x v="232"/>
    <x v="0"/>
    <d v="2021-09-27T00:00:00"/>
    <x v="0"/>
    <d v="2022-09-19T00:00:00"/>
    <n v="30"/>
    <n v="39"/>
    <n v="13"/>
    <s v="SOUTHEAST"/>
    <s v="Active"/>
    <s v="1-3 Years"/>
  </r>
  <r>
    <x v="233"/>
    <x v="0"/>
    <d v="2021-06-21T00:00:00"/>
    <x v="0"/>
    <d v="2022-09-20T00:00:00"/>
    <n v="30"/>
    <n v="7"/>
    <n v="28"/>
    <s v="SOUTHEAST"/>
    <s v="Active"/>
    <s v="10+ Years"/>
  </r>
  <r>
    <x v="234"/>
    <x v="1"/>
    <d v="2020-06-29T00:00:00"/>
    <x v="1"/>
    <d v="2022-09-15T00:00:00"/>
    <n v="30"/>
    <n v="35"/>
    <n v="10"/>
    <s v="CENTRAL"/>
    <s v="Active"/>
    <s v="10+ Years"/>
  </r>
  <r>
    <x v="235"/>
    <x v="0"/>
    <d v="2021-11-22T00:00:00"/>
    <x v="0"/>
    <d v="2022-09-22T00:00:00"/>
    <n v="29"/>
    <n v="19"/>
    <n v="0"/>
    <s v="WEST"/>
    <s v="Active"/>
    <s v="5-10 Years"/>
  </r>
  <r>
    <x v="236"/>
    <x v="0"/>
    <d v="2020-07-15T00:00:00"/>
    <x v="1"/>
    <d v="2022-09-23T00:00:00"/>
    <n v="29"/>
    <n v="44"/>
    <n v="25"/>
    <s v="NORTHEAST"/>
    <s v="Active"/>
    <s v="0-1 Years"/>
  </r>
  <r>
    <x v="237"/>
    <x v="1"/>
    <d v="2020-03-11T00:00:00"/>
    <x v="1"/>
    <d v="2022-08-29T00:00:00"/>
    <n v="29"/>
    <n v="34"/>
    <n v="21"/>
    <s v="SOUTHEAST"/>
    <s v="Active"/>
    <s v="10+ Years"/>
  </r>
  <r>
    <x v="238"/>
    <x v="0"/>
    <d v="2022-02-28T00:00:00"/>
    <x v="2"/>
    <d v="2022-09-14T00:00:00"/>
    <n v="28"/>
    <n v="37"/>
    <n v="28"/>
    <s v="WEST"/>
    <s v="Active"/>
    <s v="10+ Years"/>
  </r>
  <r>
    <x v="239"/>
    <x v="0"/>
    <d v="2021-08-02T00:00:00"/>
    <x v="0"/>
    <d v="2022-09-13T00:00:00"/>
    <n v="28"/>
    <n v="36"/>
    <n v="19"/>
    <s v="WEST"/>
    <s v="Active"/>
    <s v="10+ Years"/>
  </r>
  <r>
    <x v="240"/>
    <x v="0"/>
    <d v="2020-12-29T00:00:00"/>
    <x v="1"/>
    <d v="2022-08-25T00:00:00"/>
    <n v="28"/>
    <n v="28"/>
    <n v="11"/>
    <s v="SOUTHEAST"/>
    <s v="Active"/>
    <s v="10+ Years"/>
  </r>
  <r>
    <x v="241"/>
    <x v="0"/>
    <d v="2020-12-28T00:00:00"/>
    <x v="1"/>
    <d v="2022-09-19T00:00:00"/>
    <n v="28"/>
    <n v="23"/>
    <n v="29"/>
    <s v="SOUTHEAST"/>
    <s v="Active"/>
    <s v="10+ Years"/>
  </r>
  <r>
    <x v="242"/>
    <x v="5"/>
    <d v="2020-11-02T00:00:00"/>
    <x v="1"/>
    <d v="2020-12-01T00:00:00"/>
    <n v="28"/>
    <n v="15"/>
    <n v="12"/>
    <s v="NORTHEAST"/>
    <s v="Inactive"/>
    <s v="10+ Years"/>
  </r>
  <r>
    <x v="243"/>
    <x v="0"/>
    <d v="2020-09-28T00:00:00"/>
    <x v="1"/>
    <d v="2022-09-15T00:00:00"/>
    <n v="28"/>
    <n v="1"/>
    <n v="25"/>
    <s v="SOUTHEAST"/>
    <s v="Active"/>
    <s v="10+ Years"/>
  </r>
  <r>
    <x v="244"/>
    <x v="0"/>
    <d v="2020-06-22T00:00:00"/>
    <x v="1"/>
    <d v="2022-03-22T00:00:00"/>
    <n v="28"/>
    <n v="46"/>
    <n v="20"/>
    <s v="CENTRAL"/>
    <s v="Inactive"/>
    <s v="10+ Years"/>
  </r>
  <r>
    <x v="245"/>
    <x v="1"/>
    <d v="2021-06-07T00:00:00"/>
    <x v="0"/>
    <d v="2022-09-15T00:00:00"/>
    <n v="27"/>
    <n v="45"/>
    <n v="16"/>
    <s v="WEST"/>
    <s v="Active"/>
    <s v="10+ Years"/>
  </r>
  <r>
    <x v="246"/>
    <x v="0"/>
    <d v="2021-09-09T00:00:00"/>
    <x v="0"/>
    <d v="2022-09-11T00:00:00"/>
    <n v="26"/>
    <n v="8"/>
    <n v="2"/>
    <s v="WEST"/>
    <s v="Active"/>
    <s v="10+ Years"/>
  </r>
  <r>
    <x v="247"/>
    <x v="8"/>
    <d v="2021-04-12T00:00:00"/>
    <x v="0"/>
    <d v="2021-04-12T00:00:00"/>
    <n v="26"/>
    <n v="40"/>
    <n v="3"/>
    <s v="WEST"/>
    <s v="Inactive"/>
    <s v="1-3 Years"/>
  </r>
  <r>
    <x v="248"/>
    <x v="0"/>
    <d v="2021-03-22T00:00:00"/>
    <x v="0"/>
    <d v="2022-09-20T00:00:00"/>
    <n v="26"/>
    <n v="6"/>
    <n v="3"/>
    <s v="MIDWEST"/>
    <s v="Active"/>
    <s v="1-3 Years"/>
  </r>
  <r>
    <x v="249"/>
    <x v="0"/>
    <d v="2020-10-26T00:00:00"/>
    <x v="1"/>
    <d v="2022-09-20T00:00:00"/>
    <n v="26"/>
    <n v="19"/>
    <n v="7"/>
    <s v="CENTRAL"/>
    <s v="Active"/>
    <s v="1-3 Years"/>
  </r>
  <r>
    <x v="250"/>
    <x v="3"/>
    <d v="2021-05-24T00:00:00"/>
    <x v="0"/>
    <d v="2022-09-13T00:00:00"/>
    <n v="25"/>
    <n v="48"/>
    <n v="25"/>
    <s v="CENTRAL"/>
    <s v="Active"/>
    <s v="5-10 Years"/>
  </r>
  <r>
    <x v="251"/>
    <x v="0"/>
    <d v="2021-06-16T00:00:00"/>
    <x v="0"/>
    <d v="2022-09-21T00:00:00"/>
    <n v="25"/>
    <n v="2"/>
    <n v="2"/>
    <s v="NORTHEAST"/>
    <s v="Active"/>
    <s v="10+ Years"/>
  </r>
  <r>
    <x v="252"/>
    <x v="0"/>
    <d v="2020-10-27T00:00:00"/>
    <x v="1"/>
    <d v="2022-09-21T00:00:00"/>
    <n v="25"/>
    <n v="4"/>
    <n v="9"/>
    <s v="MIDWEST"/>
    <s v="Active"/>
    <s v="1-3 Years"/>
  </r>
  <r>
    <x v="253"/>
    <x v="0"/>
    <d v="2020-05-12T00:00:00"/>
    <x v="1"/>
    <d v="2022-09-14T00:00:00"/>
    <n v="25"/>
    <n v="24"/>
    <n v="7"/>
    <s v="CENTRAL"/>
    <s v="Active"/>
    <s v="5-10 Years"/>
  </r>
  <r>
    <x v="254"/>
    <x v="0"/>
    <d v="2021-11-09T00:00:00"/>
    <x v="0"/>
    <d v="2022-09-14T00:00:00"/>
    <n v="24"/>
    <n v="22"/>
    <n v="4"/>
    <s v="CENTRAL"/>
    <s v="Active"/>
    <s v="5-10 Years"/>
  </r>
  <r>
    <x v="255"/>
    <x v="0"/>
    <d v="2021-08-10T00:00:00"/>
    <x v="0"/>
    <d v="2022-09-20T00:00:00"/>
    <n v="24"/>
    <n v="14"/>
    <n v="22"/>
    <s v="CENTRAL"/>
    <s v="Active"/>
    <s v="3-5 Years"/>
  </r>
  <r>
    <x v="256"/>
    <x v="0"/>
    <d v="2021-04-28T00:00:00"/>
    <x v="0"/>
    <d v="2022-08-30T00:00:00"/>
    <n v="24"/>
    <n v="32"/>
    <n v="20"/>
    <s v="NORTHEAST"/>
    <s v="Active"/>
    <s v="10+ Years"/>
  </r>
  <r>
    <x v="257"/>
    <x v="1"/>
    <d v="2021-02-08T00:00:00"/>
    <x v="0"/>
    <d v="2022-09-16T00:00:00"/>
    <n v="24"/>
    <n v="25"/>
    <n v="26"/>
    <s v="MIDWEST"/>
    <s v="Active"/>
    <s v="10+ Years"/>
  </r>
  <r>
    <x v="258"/>
    <x v="0"/>
    <d v="2020-10-19T00:00:00"/>
    <x v="1"/>
    <d v="2022-09-14T00:00:00"/>
    <n v="24"/>
    <n v="35"/>
    <n v="17"/>
    <s v="WEST"/>
    <s v="Active"/>
    <s v="10+ Years"/>
  </r>
  <r>
    <x v="259"/>
    <x v="0"/>
    <d v="2020-08-17T00:00:00"/>
    <x v="1"/>
    <d v="2022-09-21T00:00:00"/>
    <n v="24"/>
    <n v="50"/>
    <n v="14"/>
    <s v="WEST"/>
    <s v="Active"/>
    <s v="10+ Years"/>
  </r>
  <r>
    <x v="260"/>
    <x v="0"/>
    <d v="2021-09-14T00:00:00"/>
    <x v="0"/>
    <d v="2022-06-07T00:00:00"/>
    <n v="23"/>
    <n v="22"/>
    <n v="12"/>
    <s v="NORTHEAST"/>
    <s v="Inactive"/>
    <s v="10+ Years"/>
  </r>
  <r>
    <x v="261"/>
    <x v="1"/>
    <d v="2021-08-25T00:00:00"/>
    <x v="0"/>
    <d v="2022-06-01T00:00:00"/>
    <n v="23"/>
    <n v="34"/>
    <n v="5"/>
    <s v="CENTRAL"/>
    <s v="Inactive"/>
    <s v="10+ Years"/>
  </r>
  <r>
    <x v="262"/>
    <x v="0"/>
    <d v="2020-04-09T00:00:00"/>
    <x v="1"/>
    <d v="2022-09-22T00:00:00"/>
    <n v="23"/>
    <n v="24"/>
    <n v="2"/>
    <s v="MIDWEST"/>
    <s v="Active"/>
    <s v="3-5 Years"/>
  </r>
  <r>
    <x v="263"/>
    <x v="0"/>
    <d v="2020-07-07T00:00:00"/>
    <x v="1"/>
    <d v="2022-09-12T00:00:00"/>
    <n v="23"/>
    <n v="12"/>
    <n v="16"/>
    <s v="NORTHEAST"/>
    <s v="Active"/>
    <s v="1-3 Years"/>
  </r>
  <r>
    <x v="264"/>
    <x v="0"/>
    <d v="2020-07-27T00:00:00"/>
    <x v="1"/>
    <d v="2022-08-23T00:00:00"/>
    <n v="23"/>
    <n v="22"/>
    <n v="17"/>
    <s v="NORTHEAST"/>
    <s v="Active"/>
    <s v="10+ Years"/>
  </r>
  <r>
    <x v="265"/>
    <x v="0"/>
    <d v="2020-09-29T00:00:00"/>
    <x v="1"/>
    <d v="2022-09-20T00:00:00"/>
    <n v="22"/>
    <n v="37"/>
    <n v="26"/>
    <s v="WEST"/>
    <s v="Active"/>
    <s v="10+ Years"/>
  </r>
  <r>
    <x v="266"/>
    <x v="0"/>
    <d v="2021-01-06T00:00:00"/>
    <x v="0"/>
    <d v="2022-06-20T00:00:00"/>
    <n v="22"/>
    <n v="5"/>
    <n v="29"/>
    <s v="CENTRAL"/>
    <s v="Inactive"/>
    <s v="10+ Years"/>
  </r>
  <r>
    <x v="267"/>
    <x v="0"/>
    <d v="2020-06-10T00:00:00"/>
    <x v="1"/>
    <d v="2022-09-22T00:00:00"/>
    <n v="22"/>
    <n v="39"/>
    <n v="20"/>
    <s v="MIDWEST"/>
    <s v="Active"/>
    <s v="10+ Years"/>
  </r>
  <r>
    <x v="268"/>
    <x v="0"/>
    <d v="2020-05-21T00:00:00"/>
    <x v="1"/>
    <d v="2022-09-08T00:00:00"/>
    <n v="22"/>
    <n v="13"/>
    <n v="20"/>
    <s v="SOUTHEAST"/>
    <s v="Active"/>
    <s v="10+ Years"/>
  </r>
  <r>
    <x v="269"/>
    <x v="0"/>
    <d v="2021-09-30T00:00:00"/>
    <x v="0"/>
    <d v="2022-09-15T00:00:00"/>
    <n v="21"/>
    <n v="26"/>
    <n v="10"/>
    <s v="NORTHEAST"/>
    <s v="Active"/>
    <s v="10+ Years"/>
  </r>
  <r>
    <x v="270"/>
    <x v="1"/>
    <d v="2021-07-14T00:00:00"/>
    <x v="0"/>
    <d v="2022-09-22T00:00:00"/>
    <n v="21"/>
    <n v="37"/>
    <n v="1"/>
    <s v="SOUTHEAST"/>
    <s v="Active"/>
    <s v="5-10 Years"/>
  </r>
  <r>
    <x v="271"/>
    <x v="0"/>
    <d v="2021-05-18T00:00:00"/>
    <x v="0"/>
    <d v="2022-09-14T00:00:00"/>
    <n v="21"/>
    <n v="34"/>
    <n v="23"/>
    <s v="CENTRAL"/>
    <s v="Active"/>
    <s v="0-1 Years"/>
  </r>
  <r>
    <x v="272"/>
    <x v="1"/>
    <d v="2021-03-29T00:00:00"/>
    <x v="0"/>
    <d v="2022-09-14T00:00:00"/>
    <n v="21"/>
    <n v="47"/>
    <n v="22"/>
    <s v="MIDWEST"/>
    <s v="Active"/>
    <s v="10+ Years"/>
  </r>
  <r>
    <x v="273"/>
    <x v="0"/>
    <d v="2021-03-10T00:00:00"/>
    <x v="0"/>
    <d v="2022-09-06T00:00:00"/>
    <n v="21"/>
    <n v="48"/>
    <n v="15"/>
    <s v="NORTHEAST"/>
    <s v="Active"/>
    <s v="10+ Years"/>
  </r>
  <r>
    <x v="274"/>
    <x v="0"/>
    <d v="2020-08-25T00:00:00"/>
    <x v="1"/>
    <d v="2021-08-30T00:00:00"/>
    <n v="21"/>
    <n v="46"/>
    <n v="26"/>
    <s v="MIDWEST"/>
    <s v="Inactive"/>
    <s v="10+ Years"/>
  </r>
  <r>
    <x v="275"/>
    <x v="0"/>
    <d v="2020-08-24T00:00:00"/>
    <x v="1"/>
    <d v="2022-09-20T00:00:00"/>
    <n v="21"/>
    <n v="35"/>
    <n v="1"/>
    <s v="MIDWEST"/>
    <s v="Active"/>
    <s v="10+ Years"/>
  </r>
  <r>
    <x v="276"/>
    <x v="0"/>
    <d v="2020-07-13T00:00:00"/>
    <x v="1"/>
    <d v="2021-07-23T00:00:00"/>
    <n v="21"/>
    <n v="12"/>
    <n v="17"/>
    <s v="MIDWEST"/>
    <s v="Inactive"/>
    <s v="0-1 Years"/>
  </r>
  <r>
    <x v="277"/>
    <x v="8"/>
    <d v="2020-06-15T00:00:00"/>
    <x v="1"/>
    <d v="2022-09-23T00:00:00"/>
    <n v="21"/>
    <n v="11"/>
    <n v="8"/>
    <s v="MIDWEST"/>
    <s v="Active"/>
    <s v="10+ Years"/>
  </r>
  <r>
    <x v="278"/>
    <x v="0"/>
    <d v="2021-10-24T00:00:00"/>
    <x v="0"/>
    <d v="2022-09-01T00:00:00"/>
    <n v="20"/>
    <n v="8"/>
    <n v="12"/>
    <s v="CENTRAL"/>
    <s v="Active"/>
    <s v="5-10 Years"/>
  </r>
  <r>
    <x v="279"/>
    <x v="8"/>
    <d v="2021-03-29T00:00:00"/>
    <x v="0"/>
    <d v="2022-08-24T00:00:00"/>
    <n v="20"/>
    <n v="16"/>
    <n v="10"/>
    <s v="WEST"/>
    <s v="Active"/>
    <s v="10+ Years"/>
  </r>
  <r>
    <x v="280"/>
    <x v="0"/>
    <d v="2021-01-21T00:00:00"/>
    <x v="0"/>
    <d v="2022-09-12T00:00:00"/>
    <n v="20"/>
    <n v="41"/>
    <n v="24"/>
    <s v="MIDWEST"/>
    <s v="Active"/>
    <s v="5-10 Years"/>
  </r>
  <r>
    <x v="281"/>
    <x v="1"/>
    <d v="2021-01-13T00:00:00"/>
    <x v="0"/>
    <d v="2022-09-22T00:00:00"/>
    <n v="20"/>
    <n v="40"/>
    <n v="8"/>
    <s v="NORTHEAST"/>
    <s v="Active"/>
    <s v="10+ Years"/>
  </r>
  <r>
    <x v="282"/>
    <x v="0"/>
    <d v="2020-12-09T00:00:00"/>
    <x v="1"/>
    <d v="2021-02-08T00:00:00"/>
    <n v="20"/>
    <n v="29"/>
    <n v="25"/>
    <s v="NORTHEAST"/>
    <s v="Inactive"/>
    <s v="5-10 Years"/>
  </r>
  <r>
    <x v="283"/>
    <x v="0"/>
    <d v="2020-11-30T00:00:00"/>
    <x v="1"/>
    <d v="2022-09-22T00:00:00"/>
    <n v="20"/>
    <n v="42"/>
    <n v="27"/>
    <s v="CENTRAL"/>
    <s v="Active"/>
    <s v="10+ Years"/>
  </r>
  <r>
    <x v="284"/>
    <x v="1"/>
    <d v="2020-11-24T00:00:00"/>
    <x v="1"/>
    <d v="2021-07-08T00:00:00"/>
    <n v="20"/>
    <n v="17"/>
    <n v="28"/>
    <s v="NORTHEAST"/>
    <s v="Inactive"/>
    <s v="10+ Years"/>
  </r>
  <r>
    <x v="285"/>
    <x v="0"/>
    <d v="2020-07-28T00:00:00"/>
    <x v="1"/>
    <d v="2021-06-23T00:00:00"/>
    <n v="20"/>
    <n v="24"/>
    <n v="12"/>
    <s v="CENTRAL"/>
    <s v="Inactive"/>
    <s v="10+ Years"/>
  </r>
  <r>
    <x v="286"/>
    <x v="0"/>
    <d v="2020-07-21T00:00:00"/>
    <x v="1"/>
    <d v="2020-09-11T00:00:00"/>
    <n v="20"/>
    <n v="39"/>
    <n v="29"/>
    <s v="WEST"/>
    <s v="Inactive"/>
    <s v="10+ Years"/>
  </r>
  <r>
    <x v="287"/>
    <x v="0"/>
    <d v="2022-01-18T00:00:00"/>
    <x v="2"/>
    <d v="2022-09-22T00:00:00"/>
    <n v="19"/>
    <n v="9"/>
    <n v="26"/>
    <s v="NORTHEAST"/>
    <s v="Active"/>
    <s v="10+ Years"/>
  </r>
  <r>
    <x v="288"/>
    <x v="11"/>
    <d v="2020-10-01T00:00:00"/>
    <x v="1"/>
    <d v="2022-09-21T00:00:00"/>
    <n v="19"/>
    <n v="28"/>
    <n v="7"/>
    <s v="SOUTHEAST"/>
    <s v="Active"/>
    <s v="10+ Years"/>
  </r>
  <r>
    <x v="289"/>
    <x v="0"/>
    <d v="2020-08-16T00:00:00"/>
    <x v="1"/>
    <d v="2022-09-22T00:00:00"/>
    <n v="19"/>
    <n v="8"/>
    <n v="17"/>
    <s v="NORTHEAST"/>
    <s v="Active"/>
    <s v="5-10 Years"/>
  </r>
  <r>
    <x v="290"/>
    <x v="1"/>
    <d v="2021-08-02T00:00:00"/>
    <x v="0"/>
    <d v="2022-06-03T00:00:00"/>
    <n v="18"/>
    <n v="17"/>
    <n v="27"/>
    <s v="CENTRAL"/>
    <s v="Inactive"/>
    <s v="10+ Years"/>
  </r>
  <r>
    <x v="291"/>
    <x v="1"/>
    <d v="2021-06-16T00:00:00"/>
    <x v="0"/>
    <d v="2022-09-21T00:00:00"/>
    <n v="18"/>
    <n v="24"/>
    <n v="16"/>
    <s v="MIDWEST"/>
    <s v="Active"/>
    <s v="10+ Years"/>
  </r>
  <r>
    <x v="292"/>
    <x v="8"/>
    <d v="2021-02-14T00:00:00"/>
    <x v="0"/>
    <d v="2022-09-22T00:00:00"/>
    <n v="18"/>
    <n v="33"/>
    <n v="21"/>
    <s v="SOUTHEAST"/>
    <s v="Active"/>
    <s v="10+ Years"/>
  </r>
  <r>
    <x v="293"/>
    <x v="1"/>
    <d v="2021-01-28T00:00:00"/>
    <x v="0"/>
    <d v="2021-03-02T00:00:00"/>
    <n v="18"/>
    <n v="34"/>
    <n v="27"/>
    <s v="WEST"/>
    <s v="Inactive"/>
    <s v="10+ Years"/>
  </r>
  <r>
    <x v="294"/>
    <x v="0"/>
    <d v="2022-02-14T00:00:00"/>
    <x v="2"/>
    <d v="2022-09-12T00:00:00"/>
    <n v="17"/>
    <n v="36"/>
    <n v="22"/>
    <s v="CENTRAL"/>
    <s v="Active"/>
    <s v="10+ Years"/>
  </r>
  <r>
    <x v="295"/>
    <x v="0"/>
    <d v="2021-09-30T00:00:00"/>
    <x v="0"/>
    <d v="2022-09-13T00:00:00"/>
    <n v="17"/>
    <n v="25"/>
    <n v="20"/>
    <s v="CENTRAL"/>
    <s v="Active"/>
    <s v="10+ Years"/>
  </r>
  <r>
    <x v="296"/>
    <x v="3"/>
    <d v="2021-07-13T00:00:00"/>
    <x v="0"/>
    <d v="2022-02-15T00:00:00"/>
    <n v="17"/>
    <n v="33"/>
    <n v="23"/>
    <s v="NA"/>
    <s v="Inactive"/>
    <s v="10+ Years"/>
  </r>
  <r>
    <x v="297"/>
    <x v="0"/>
    <d v="2021-01-27T00:00:00"/>
    <x v="0"/>
    <d v="2022-09-20T00:00:00"/>
    <n v="17"/>
    <n v="1"/>
    <n v="17"/>
    <s v="SOUTHEAST"/>
    <s v="Active"/>
    <s v="10+ Years"/>
  </r>
  <r>
    <x v="298"/>
    <x v="3"/>
    <d v="2020-11-18T00:00:00"/>
    <x v="1"/>
    <d v="2022-09-12T00:00:00"/>
    <n v="17"/>
    <n v="14"/>
    <n v="1"/>
    <s v="SOUTHEAST"/>
    <s v="Active"/>
    <s v="10+ Years"/>
  </r>
  <r>
    <x v="299"/>
    <x v="8"/>
    <d v="2021-12-06T00:00:00"/>
    <x v="0"/>
    <d v="2022-09-23T00:00:00"/>
    <n v="17"/>
    <n v="9"/>
    <n v="14"/>
    <s v="WEST"/>
    <s v="Active"/>
    <s v="0-1 Years"/>
  </r>
  <r>
    <x v="300"/>
    <x v="12"/>
    <d v="2020-07-23T00:00:00"/>
    <x v="1"/>
    <d v="2022-09-20T00:00:00"/>
    <n v="17"/>
    <n v="39"/>
    <n v="16"/>
    <s v="SOUTHEAST"/>
    <s v="Active"/>
    <s v="10+ Years"/>
  </r>
  <r>
    <x v="301"/>
    <x v="3"/>
    <d v="2021-12-07T00:00:00"/>
    <x v="0"/>
    <d v="2022-08-19T00:00:00"/>
    <n v="16"/>
    <n v="11"/>
    <n v="9"/>
    <s v="WEST"/>
    <s v="Inactive"/>
    <s v="10+ Years"/>
  </r>
  <r>
    <x v="302"/>
    <x v="0"/>
    <d v="2021-09-20T00:00:00"/>
    <x v="0"/>
    <d v="2022-09-01T00:00:00"/>
    <n v="16"/>
    <n v="30"/>
    <n v="7"/>
    <s v="MIDWEST"/>
    <s v="Active"/>
    <s v="5-10 Years"/>
  </r>
  <r>
    <x v="303"/>
    <x v="4"/>
    <d v="2021-02-23T00:00:00"/>
    <x v="0"/>
    <d v="2022-09-22T00:00:00"/>
    <n v="16"/>
    <n v="11"/>
    <n v="11"/>
    <s v="MIDWEST"/>
    <s v="Active"/>
    <s v="5-10 Years"/>
  </r>
  <r>
    <x v="304"/>
    <x v="1"/>
    <d v="2021-02-10T00:00:00"/>
    <x v="0"/>
    <d v="2022-08-29T00:00:00"/>
    <n v="16"/>
    <n v="14"/>
    <n v="4"/>
    <s v="NORTHEAST"/>
    <s v="Active"/>
    <s v="10+ Years"/>
  </r>
  <r>
    <x v="305"/>
    <x v="1"/>
    <d v="2021-01-26T00:00:00"/>
    <x v="0"/>
    <d v="2022-08-04T00:00:00"/>
    <n v="16"/>
    <n v="42"/>
    <n v="1"/>
    <s v="NORTHEAST"/>
    <s v="Active"/>
    <s v="3-5 Years"/>
  </r>
  <r>
    <x v="306"/>
    <x v="0"/>
    <d v="2021-01-21T00:00:00"/>
    <x v="0"/>
    <d v="2022-09-08T00:00:00"/>
    <n v="16"/>
    <n v="50"/>
    <n v="16"/>
    <s v="MIDWEST"/>
    <s v="Active"/>
    <s v="0-1 Years"/>
  </r>
  <r>
    <x v="307"/>
    <x v="0"/>
    <d v="2021-11-15T00:00:00"/>
    <x v="0"/>
    <d v="2022-09-20T00:00:00"/>
    <n v="15"/>
    <n v="23"/>
    <n v="8"/>
    <s v="SOUTHEAST"/>
    <s v="Active"/>
    <s v="10+ Years"/>
  </r>
  <r>
    <x v="308"/>
    <x v="0"/>
    <d v="2021-08-02T00:00:00"/>
    <x v="0"/>
    <d v="2022-09-20T00:00:00"/>
    <n v="15"/>
    <n v="34"/>
    <n v="8"/>
    <s v="WEST"/>
    <s v="Active"/>
    <s v="5-10 Years"/>
  </r>
  <r>
    <x v="309"/>
    <x v="0"/>
    <d v="2021-06-14T00:00:00"/>
    <x v="0"/>
    <d v="2022-09-07T00:00:00"/>
    <n v="15"/>
    <n v="11"/>
    <n v="3"/>
    <s v="WEST"/>
    <s v="Active"/>
    <s v="5-10 Years"/>
  </r>
  <r>
    <x v="310"/>
    <x v="0"/>
    <d v="2020-10-07T00:00:00"/>
    <x v="1"/>
    <d v="2022-09-15T00:00:00"/>
    <n v="15"/>
    <n v="5"/>
    <n v="22"/>
    <s v="NORTHEAST"/>
    <s v="Active"/>
    <s v="1-3 Years"/>
  </r>
  <r>
    <x v="311"/>
    <x v="0"/>
    <d v="2020-09-22T00:00:00"/>
    <x v="1"/>
    <d v="2020-12-01T00:00:00"/>
    <n v="15"/>
    <n v="33"/>
    <n v="27"/>
    <s v="MIDWEST"/>
    <s v="Inactive"/>
    <s v="10+ Years"/>
  </r>
  <r>
    <x v="312"/>
    <x v="0"/>
    <d v="2020-08-25T00:00:00"/>
    <x v="1"/>
    <d v="2022-09-21T00:00:00"/>
    <n v="15"/>
    <n v="27"/>
    <n v="21"/>
    <s v="WEST"/>
    <s v="Active"/>
    <s v="10+ Years"/>
  </r>
  <r>
    <x v="313"/>
    <x v="0"/>
    <d v="2021-11-08T00:00:00"/>
    <x v="0"/>
    <d v="2021-11-08T00:00:00"/>
    <n v="14"/>
    <n v="40"/>
    <n v="6"/>
    <s v="SOUTHEAST"/>
    <s v="Inactive"/>
    <s v="10+ Years"/>
  </r>
  <r>
    <x v="314"/>
    <x v="0"/>
    <d v="2021-07-29T00:00:00"/>
    <x v="0"/>
    <d v="2022-09-14T00:00:00"/>
    <n v="14"/>
    <n v="7"/>
    <n v="30"/>
    <s v="SOUTHEAST"/>
    <s v="Active"/>
    <s v="5-10 Years"/>
  </r>
  <r>
    <x v="315"/>
    <x v="1"/>
    <d v="2021-05-03T00:00:00"/>
    <x v="0"/>
    <d v="2022-02-27T00:00:00"/>
    <n v="14"/>
    <n v="50"/>
    <n v="20"/>
    <s v="SOUTHEAST"/>
    <s v="Inactive"/>
    <s v="10+ Years"/>
  </r>
  <r>
    <x v="316"/>
    <x v="0"/>
    <d v="2020-11-23T00:00:00"/>
    <x v="1"/>
    <d v="2021-10-05T00:00:00"/>
    <n v="14"/>
    <n v="10"/>
    <n v="11"/>
    <s v="CENTRAL"/>
    <s v="Inactive"/>
    <s v="10+ Years"/>
  </r>
  <r>
    <x v="317"/>
    <x v="0"/>
    <d v="2020-10-05T00:00:00"/>
    <x v="1"/>
    <d v="2021-04-09T00:00:00"/>
    <n v="14"/>
    <n v="10"/>
    <n v="9"/>
    <s v="SOUTHEAST"/>
    <s v="Inactive"/>
    <s v="10+ Years"/>
  </r>
  <r>
    <x v="318"/>
    <x v="0"/>
    <d v="2020-09-22T00:00:00"/>
    <x v="1"/>
    <d v="2022-09-01T00:00:00"/>
    <n v="14"/>
    <n v="44"/>
    <n v="29"/>
    <s v="SOUTHEAST"/>
    <s v="Active"/>
    <s v="5-10 Years"/>
  </r>
  <r>
    <x v="319"/>
    <x v="0"/>
    <d v="2021-11-15T00:00:00"/>
    <x v="0"/>
    <d v="2022-09-22T00:00:00"/>
    <n v="14"/>
    <n v="13"/>
    <n v="20"/>
    <s v="NORTHEAST"/>
    <s v="Active"/>
    <s v="10+ Years"/>
  </r>
  <r>
    <x v="320"/>
    <x v="1"/>
    <d v="2021-06-16T00:00:00"/>
    <x v="0"/>
    <d v="2022-09-23T00:00:00"/>
    <n v="13"/>
    <n v="28"/>
    <n v="3"/>
    <s v="WEST"/>
    <s v="Active"/>
    <s v="10+ Years"/>
  </r>
  <r>
    <x v="321"/>
    <x v="0"/>
    <d v="2020-08-19T00:00:00"/>
    <x v="1"/>
    <d v="2022-09-22T00:00:00"/>
    <n v="13"/>
    <n v="30"/>
    <n v="10"/>
    <s v="MIDWEST"/>
    <s v="Active"/>
    <s v="1-3 Years"/>
  </r>
  <r>
    <x v="322"/>
    <x v="0"/>
    <d v="2021-01-25T00:00:00"/>
    <x v="0"/>
    <d v="2022-09-21T00:00:00"/>
    <n v="13"/>
    <n v="4"/>
    <n v="0"/>
    <s v="SOUTHEAST"/>
    <s v="Active"/>
    <s v="5-10 Years"/>
  </r>
  <r>
    <x v="323"/>
    <x v="0"/>
    <d v="2021-09-23T00:00:00"/>
    <x v="0"/>
    <d v="2022-09-14T00:00:00"/>
    <n v="13"/>
    <n v="39"/>
    <n v="2"/>
    <s v="SOUTHEAST"/>
    <s v="Active"/>
    <s v="0-1 Years"/>
  </r>
  <r>
    <x v="324"/>
    <x v="0"/>
    <d v="2020-09-07T00:00:00"/>
    <x v="1"/>
    <d v="2022-09-12T00:00:00"/>
    <n v="13"/>
    <n v="26"/>
    <n v="6"/>
    <s v="NORTHEAST"/>
    <s v="Active"/>
    <s v="1-3 Years"/>
  </r>
  <r>
    <x v="325"/>
    <x v="8"/>
    <d v="2021-12-09T00:00:00"/>
    <x v="0"/>
    <d v="2022-09-22T00:00:00"/>
    <n v="12"/>
    <n v="21"/>
    <n v="27"/>
    <s v="WEST"/>
    <s v="Inactive"/>
    <s v="5-10 Years"/>
  </r>
  <r>
    <x v="326"/>
    <x v="13"/>
    <d v="2021-10-04T00:00:00"/>
    <x v="0"/>
    <d v="2022-04-18T00:00:00"/>
    <n v="12"/>
    <n v="34"/>
    <n v="14"/>
    <s v="SOUTHEAST"/>
    <s v="Inactive"/>
    <s v="10+ Years"/>
  </r>
  <r>
    <x v="327"/>
    <x v="0"/>
    <d v="2021-08-25T00:00:00"/>
    <x v="0"/>
    <d v="2022-09-14T00:00:00"/>
    <n v="12"/>
    <n v="19"/>
    <n v="16"/>
    <s v="WEST"/>
    <s v="Active"/>
    <s v="10+ Years"/>
  </r>
  <r>
    <x v="328"/>
    <x v="0"/>
    <d v="2021-08-03T00:00:00"/>
    <x v="0"/>
    <d v="2022-08-22T00:00:00"/>
    <n v="11"/>
    <n v="21"/>
    <n v="17"/>
    <s v="MIDWEST"/>
    <s v="Active"/>
    <s v="10+ Years"/>
  </r>
  <r>
    <x v="329"/>
    <x v="1"/>
    <d v="2021-06-16T00:00:00"/>
    <x v="0"/>
    <d v="2021-08-23T00:00:00"/>
    <n v="11"/>
    <n v="35"/>
    <n v="5"/>
    <s v="SOUTHEAST"/>
    <s v="Inactive"/>
    <s v="10+ Years"/>
  </r>
  <r>
    <x v="330"/>
    <x v="0"/>
    <d v="2020-11-11T00:00:00"/>
    <x v="1"/>
    <d v="2022-09-15T00:00:00"/>
    <n v="11"/>
    <n v="47"/>
    <n v="19"/>
    <s v="WEST"/>
    <s v="Active"/>
    <s v="3-5 Years"/>
  </r>
  <r>
    <x v="331"/>
    <x v="0"/>
    <d v="2021-10-12T00:00:00"/>
    <x v="0"/>
    <d v="2022-09-19T00:00:00"/>
    <n v="10"/>
    <n v="44"/>
    <n v="3"/>
    <s v="CENTRAL"/>
    <s v="Active"/>
    <s v="10+ Years"/>
  </r>
  <r>
    <x v="332"/>
    <x v="8"/>
    <d v="2021-06-08T00:00:00"/>
    <x v="0"/>
    <d v="2022-09-19T00:00:00"/>
    <n v="10"/>
    <n v="17"/>
    <n v="18"/>
    <s v="NORTHEAST"/>
    <s v="Active"/>
    <s v="1-3 Years"/>
  </r>
  <r>
    <x v="333"/>
    <x v="0"/>
    <d v="2021-04-29T00:00:00"/>
    <x v="0"/>
    <d v="2021-09-27T00:00:00"/>
    <n v="10"/>
    <n v="4"/>
    <n v="3"/>
    <s v="SOUTHEAST"/>
    <s v="Inactive"/>
    <s v="10+ Years"/>
  </r>
  <r>
    <x v="334"/>
    <x v="0"/>
    <d v="2021-12-22T00:00:00"/>
    <x v="0"/>
    <d v="2022-07-31T00:00:00"/>
    <n v="9"/>
    <n v="36"/>
    <n v="2"/>
    <s v="NORTHEAST"/>
    <s v="Active"/>
    <s v="1-3 Years"/>
  </r>
  <r>
    <x v="335"/>
    <x v="0"/>
    <d v="2021-12-09T00:00:00"/>
    <x v="0"/>
    <d v="2022-08-24T00:00:00"/>
    <n v="9"/>
    <n v="4"/>
    <n v="17"/>
    <s v="SOUTHEAST"/>
    <s v="Inactive"/>
    <s v="1-3 Years"/>
  </r>
  <r>
    <x v="336"/>
    <x v="0"/>
    <d v="2021-08-12T00:00:00"/>
    <x v="0"/>
    <d v="2022-08-28T00:00:00"/>
    <n v="9"/>
    <n v="23"/>
    <n v="7"/>
    <s v="SOUTHEAST"/>
    <s v="Active"/>
    <s v="10+ Years"/>
  </r>
  <r>
    <x v="337"/>
    <x v="0"/>
    <d v="2020-06-29T00:00:00"/>
    <x v="1"/>
    <d v="2022-09-21T00:00:00"/>
    <n v="9"/>
    <n v="5"/>
    <n v="18"/>
    <s v="WEST"/>
    <s v="Active"/>
    <s v="5-10 Years"/>
  </r>
  <r>
    <x v="338"/>
    <x v="0"/>
    <d v="2021-12-27T00:00:00"/>
    <x v="0"/>
    <d v="2022-08-11T00:00:00"/>
    <n v="8"/>
    <n v="12"/>
    <n v="12"/>
    <s v="NORTHEAST"/>
    <s v="Active"/>
    <s v="10+ Years"/>
  </r>
  <r>
    <x v="339"/>
    <x v="6"/>
    <d v="2021-05-26T00:00:00"/>
    <x v="0"/>
    <d v="2022-09-20T00:00:00"/>
    <n v="8"/>
    <n v="40"/>
    <n v="4"/>
    <s v="WEST"/>
    <s v="Active"/>
    <s v="10+ Years"/>
  </r>
  <r>
    <x v="340"/>
    <x v="0"/>
    <d v="2021-05-19T00:00:00"/>
    <x v="0"/>
    <d v="2022-02-23T00:00:00"/>
    <n v="8"/>
    <n v="49"/>
    <n v="2"/>
    <s v="NORTHEAST"/>
    <s v="Inactive"/>
    <s v="3-5 Years"/>
  </r>
  <r>
    <x v="341"/>
    <x v="0"/>
    <d v="2020-09-08T00:00:00"/>
    <x v="1"/>
    <d v="2022-09-13T00:00:00"/>
    <n v="8"/>
    <n v="13"/>
    <n v="22"/>
    <s v="MIDWEST"/>
    <s v="Active"/>
    <s v="1-3 Years"/>
  </r>
  <r>
    <x v="342"/>
    <x v="0"/>
    <d v="2021-07-21T00:00:00"/>
    <x v="0"/>
    <d v="2022-09-22T00:00:00"/>
    <n v="8"/>
    <n v="46"/>
    <n v="30"/>
    <s v="MIDWEST"/>
    <s v="Active"/>
    <s v="10+ Years"/>
  </r>
  <r>
    <x v="343"/>
    <x v="0"/>
    <d v="2020-07-29T00:00:00"/>
    <x v="1"/>
    <d v="2022-09-20T00:00:00"/>
    <n v="8"/>
    <n v="17"/>
    <n v="22"/>
    <s v="MIDWEST"/>
    <s v="Active"/>
    <s v="10+ Years"/>
  </r>
  <r>
    <x v="344"/>
    <x v="0"/>
    <d v="2020-07-27T00:00:00"/>
    <x v="1"/>
    <d v="2022-09-20T00:00:00"/>
    <n v="8"/>
    <n v="21"/>
    <n v="23"/>
    <s v="MIDWEST"/>
    <s v="Active"/>
    <s v="10+ Years"/>
  </r>
  <r>
    <x v="345"/>
    <x v="0"/>
    <d v="2020-06-02T00:00:00"/>
    <x v="1"/>
    <d v="2022-09-14T00:00:00"/>
    <n v="8"/>
    <n v="40"/>
    <n v="28"/>
    <s v="CENTRAL"/>
    <s v="Active"/>
    <s v="10+ Years"/>
  </r>
  <r>
    <x v="346"/>
    <x v="0"/>
    <d v="2021-12-13T00:00:00"/>
    <x v="0"/>
    <d v="2022-07-20T00:00:00"/>
    <n v="7"/>
    <n v="4"/>
    <n v="19"/>
    <s v="MIDWEST"/>
    <s v="Inactive"/>
    <s v="10+ Years"/>
  </r>
  <r>
    <x v="347"/>
    <x v="0"/>
    <d v="2021-10-06T00:00:00"/>
    <x v="0"/>
    <d v="2022-09-13T00:00:00"/>
    <n v="7"/>
    <n v="1"/>
    <n v="30"/>
    <s v="MIDWEST"/>
    <s v="Active"/>
    <s v="10+ Years"/>
  </r>
  <r>
    <x v="348"/>
    <x v="0"/>
    <d v="2021-04-28T00:00:00"/>
    <x v="0"/>
    <d v="2022-09-20T00:00:00"/>
    <n v="7"/>
    <n v="45"/>
    <n v="17"/>
    <s v="NORTHEAST"/>
    <s v="Active"/>
    <s v="10+ Years"/>
  </r>
  <r>
    <x v="349"/>
    <x v="0"/>
    <d v="2020-06-16T00:00:00"/>
    <x v="1"/>
    <d v="2020-12-30T00:00:00"/>
    <n v="7"/>
    <n v="17"/>
    <n v="5"/>
    <s v="SOUTHEAST"/>
    <s v="Inactive"/>
    <s v="10+ Years"/>
  </r>
  <r>
    <x v="350"/>
    <x v="0"/>
    <d v="2020-05-05T00:00:00"/>
    <x v="1"/>
    <d v="2022-09-22T00:00:00"/>
    <n v="7"/>
    <n v="29"/>
    <n v="22"/>
    <s v="NORTHEAST"/>
    <s v="Active"/>
    <s v="3-5 Years"/>
  </r>
  <r>
    <x v="351"/>
    <x v="8"/>
    <d v="2021-09-20T00:00:00"/>
    <x v="0"/>
    <d v="2022-08-24T00:00:00"/>
    <n v="6"/>
    <n v="1"/>
    <n v="24"/>
    <s v="CENTRAL"/>
    <s v="Active"/>
    <s v="10+ Years"/>
  </r>
  <r>
    <x v="352"/>
    <x v="1"/>
    <d v="2021-06-14T00:00:00"/>
    <x v="0"/>
    <d v="2022-09-23T00:00:00"/>
    <n v="6"/>
    <n v="10"/>
    <n v="0"/>
    <s v="SOUTHEAST"/>
    <s v="Active"/>
    <s v="10+ Years"/>
  </r>
  <r>
    <x v="353"/>
    <x v="1"/>
    <d v="2020-12-07T00:00:00"/>
    <x v="1"/>
    <d v="2022-09-21T00:00:00"/>
    <n v="6"/>
    <n v="29"/>
    <n v="24"/>
    <s v="MIDWEST"/>
    <s v="Active"/>
    <s v="0-1 Years"/>
  </r>
  <r>
    <x v="354"/>
    <x v="0"/>
    <d v="2020-11-10T00:00:00"/>
    <x v="1"/>
    <d v="2022-09-20T00:00:00"/>
    <n v="6"/>
    <n v="1"/>
    <n v="1"/>
    <s v="SOUTHEAST"/>
    <s v="Active"/>
    <s v="10+ Years"/>
  </r>
  <r>
    <x v="355"/>
    <x v="0"/>
    <d v="2020-07-13T00:00:00"/>
    <x v="1"/>
    <d v="2021-01-17T00:00:00"/>
    <n v="6"/>
    <n v="28"/>
    <n v="2"/>
    <s v="SOUTHEAST"/>
    <s v="Inactive"/>
    <s v="0-1 Years"/>
  </r>
  <r>
    <x v="356"/>
    <x v="1"/>
    <d v="2021-12-15T00:00:00"/>
    <x v="0"/>
    <d v="2022-09-22T00:00:00"/>
    <n v="5"/>
    <n v="8"/>
    <n v="27"/>
    <s v="CENTRAL"/>
    <s v="Active"/>
    <s v="1-3 Years"/>
  </r>
  <r>
    <x v="357"/>
    <x v="0"/>
    <d v="2021-07-05T00:00:00"/>
    <x v="0"/>
    <d v="2022-09-12T00:00:00"/>
    <n v="5"/>
    <n v="29"/>
    <n v="14"/>
    <s v="WEST"/>
    <s v="Active"/>
    <s v="10+ Years"/>
  </r>
  <r>
    <x v="358"/>
    <x v="0"/>
    <d v="2021-06-02T00:00:00"/>
    <x v="0"/>
    <d v="2021-11-03T00:00:00"/>
    <n v="5"/>
    <n v="24"/>
    <n v="9"/>
    <s v="MIDWEST"/>
    <s v="Inactive"/>
    <s v="10+ Years"/>
  </r>
  <r>
    <x v="359"/>
    <x v="0"/>
    <d v="2021-03-17T00:00:00"/>
    <x v="0"/>
    <d v="2022-08-22T00:00:00"/>
    <n v="5"/>
    <n v="30"/>
    <n v="13"/>
    <s v="WEST"/>
    <s v="Active"/>
    <s v="5-10 Years"/>
  </r>
  <r>
    <x v="360"/>
    <x v="0"/>
    <d v="2021-02-08T00:00:00"/>
    <x v="0"/>
    <d v="2022-09-22T00:00:00"/>
    <n v="5"/>
    <n v="50"/>
    <n v="3"/>
    <s v="CENTRAL"/>
    <s v="Active"/>
    <s v="10+ Years"/>
  </r>
  <r>
    <x v="361"/>
    <x v="0"/>
    <d v="2020-12-07T00:00:00"/>
    <x v="1"/>
    <d v="2022-09-16T00:00:00"/>
    <n v="5"/>
    <n v="12"/>
    <n v="27"/>
    <s v="NORTHEAST"/>
    <s v="Active"/>
    <s v="1-3 Years"/>
  </r>
  <r>
    <x v="362"/>
    <x v="1"/>
    <d v="2020-10-29T00:00:00"/>
    <x v="1"/>
    <d v="2022-09-19T00:00:00"/>
    <n v="5"/>
    <n v="11"/>
    <n v="22"/>
    <s v="SOUTHEAST"/>
    <s v="Active"/>
    <s v="10+ Years"/>
  </r>
  <r>
    <x v="363"/>
    <x v="0"/>
    <d v="2020-09-28T00:00:00"/>
    <x v="1"/>
    <d v="2022-09-12T00:00:00"/>
    <n v="5"/>
    <n v="45"/>
    <n v="10"/>
    <s v="SOUTHEAST"/>
    <s v="Active"/>
    <s v="10+ Years"/>
  </r>
  <r>
    <x v="364"/>
    <x v="4"/>
    <d v="2020-09-10T00:00:00"/>
    <x v="1"/>
    <d v="2022-01-24T00:00:00"/>
    <n v="5"/>
    <n v="4"/>
    <n v="27"/>
    <s v="CENTRAL"/>
    <s v="Inactive"/>
    <s v="5-10 Years"/>
  </r>
  <r>
    <x v="365"/>
    <x v="0"/>
    <d v="2022-01-24T00:00:00"/>
    <x v="2"/>
    <d v="2022-09-21T00:00:00"/>
    <n v="4"/>
    <n v="1"/>
    <n v="16"/>
    <s v="NA"/>
    <s v="Active"/>
    <s v="10+ Years"/>
  </r>
  <r>
    <x v="366"/>
    <x v="1"/>
    <d v="2021-03-21T00:00:00"/>
    <x v="0"/>
    <d v="2022-09-12T00:00:00"/>
    <n v="4"/>
    <n v="15"/>
    <n v="1"/>
    <s v="MIDWEST"/>
    <s v="Active"/>
    <s v="10+ Years"/>
  </r>
  <r>
    <x v="367"/>
    <x v="0"/>
    <d v="2020-11-03T00:00:00"/>
    <x v="1"/>
    <d v="2020-11-03T00:00:00"/>
    <n v="4"/>
    <n v="50"/>
    <n v="11"/>
    <s v="WEST"/>
    <s v="Inactive"/>
    <s v="0-1 Years"/>
  </r>
  <r>
    <x v="368"/>
    <x v="6"/>
    <d v="2021-10-25T00:00:00"/>
    <x v="0"/>
    <d v="2022-09-12T00:00:00"/>
    <n v="3"/>
    <n v="15"/>
    <n v="5"/>
    <s v="MIDWEST"/>
    <s v="Active"/>
    <s v="10+ Years"/>
  </r>
  <r>
    <x v="369"/>
    <x v="0"/>
    <d v="2021-03-17T00:00:00"/>
    <x v="0"/>
    <d v="2022-09-15T00:00:00"/>
    <n v="3"/>
    <n v="15"/>
    <n v="10"/>
    <s v="SOUTHEAST"/>
    <s v="Active"/>
    <s v="3-5 Years"/>
  </r>
  <r>
    <x v="370"/>
    <x v="1"/>
    <d v="2021-03-15T00:00:00"/>
    <x v="0"/>
    <d v="2022-09-22T00:00:00"/>
    <n v="3"/>
    <n v="22"/>
    <n v="1"/>
    <s v="NORTHEAST"/>
    <s v="Active"/>
    <s v="5-10 Years"/>
  </r>
  <r>
    <x v="371"/>
    <x v="0"/>
    <d v="2020-06-09T00:00:00"/>
    <x v="1"/>
    <d v="2022-09-14T00:00:00"/>
    <n v="3"/>
    <n v="15"/>
    <n v="1"/>
    <s v="SOUTHEAST"/>
    <s v="Active"/>
    <s v="0-1 Years"/>
  </r>
  <r>
    <x v="372"/>
    <x v="1"/>
    <d v="2022-01-20T00:00:00"/>
    <x v="2"/>
    <d v="2022-09-15T00:00:00"/>
    <n v="2"/>
    <n v="41"/>
    <n v="27"/>
    <s v="WEST"/>
    <s v="Active"/>
    <s v="0-1 Years"/>
  </r>
  <r>
    <x v="373"/>
    <x v="0"/>
    <d v="2021-06-07T00:00:00"/>
    <x v="0"/>
    <d v="2022-09-01T00:00:00"/>
    <n v="2"/>
    <n v="50"/>
    <n v="1"/>
    <s v="CENTRAL"/>
    <s v="Active"/>
    <s v="10+ Years"/>
  </r>
  <r>
    <x v="374"/>
    <x v="0"/>
    <d v="2021-04-26T00:00:00"/>
    <x v="0"/>
    <d v="2022-09-19T00:00:00"/>
    <n v="2"/>
    <n v="28"/>
    <n v="15"/>
    <s v="MIDWEST"/>
    <s v="Active"/>
    <s v="0-1 Years"/>
  </r>
  <r>
    <x v="375"/>
    <x v="0"/>
    <d v="2020-10-21T00:00:00"/>
    <x v="1"/>
    <d v="2022-09-19T00:00:00"/>
    <n v="2"/>
    <n v="4"/>
    <n v="2"/>
    <s v="CENTRAL"/>
    <s v="Active"/>
    <s v="10+ Years"/>
  </r>
  <r>
    <x v="376"/>
    <x v="1"/>
    <d v="2021-08-10T00:00:00"/>
    <x v="0"/>
    <d v="2022-09-23T00:00:00"/>
    <n v="1"/>
    <n v="40"/>
    <n v="14"/>
    <s v="NORTHEAST"/>
    <s v="Active"/>
    <s v="1-3 Years"/>
  </r>
  <r>
    <x v="377"/>
    <x v="0"/>
    <d v="2021-08-03T00:00:00"/>
    <x v="0"/>
    <d v="2022-09-21T00:00:00"/>
    <n v="1"/>
    <n v="43"/>
    <n v="20"/>
    <s v="MIDWEST"/>
    <s v="Active"/>
    <s v="10+ Years"/>
  </r>
  <r>
    <x v="378"/>
    <x v="14"/>
    <d v="2021-07-15T00:00:00"/>
    <x v="0"/>
    <d v="2022-08-15T00:00:00"/>
    <n v="1"/>
    <n v="17"/>
    <n v="14"/>
    <s v="CENTRAL"/>
    <s v="Active"/>
    <s v="10+ Years"/>
  </r>
  <r>
    <x v="379"/>
    <x v="0"/>
    <d v="2021-06-23T00:00:00"/>
    <x v="0"/>
    <d v="2022-09-20T00:00:00"/>
    <n v="1"/>
    <n v="31"/>
    <n v="18"/>
    <s v="MIDWEST"/>
    <s v="Active"/>
    <s v="10+ Years"/>
  </r>
  <r>
    <x v="380"/>
    <x v="0"/>
    <d v="2021-06-07T00:00:00"/>
    <x v="0"/>
    <d v="2022-08-24T00:00:00"/>
    <n v="1"/>
    <n v="37"/>
    <n v="7"/>
    <s v="SOUTHEAST"/>
    <s v="Active"/>
    <s v="10+ Years"/>
  </r>
  <r>
    <x v="381"/>
    <x v="1"/>
    <d v="2021-06-07T00:00:00"/>
    <x v="0"/>
    <d v="2022-08-10T00:00:00"/>
    <n v="1"/>
    <n v="48"/>
    <n v="9"/>
    <s v="MIDWEST"/>
    <s v="Active"/>
    <s v="5-10 Years"/>
  </r>
  <r>
    <x v="382"/>
    <x v="15"/>
    <d v="2021-02-08T00:00:00"/>
    <x v="0"/>
    <d v="2021-11-22T00:00:00"/>
    <n v="1"/>
    <n v="48"/>
    <n v="23"/>
    <s v="WEST"/>
    <s v="Inactive"/>
    <s v="5-10 Years"/>
  </r>
  <r>
    <x v="383"/>
    <x v="0"/>
    <d v="2020-08-05T00:00:00"/>
    <x v="1"/>
    <d v="2022-09-21T00:00:00"/>
    <n v="1"/>
    <n v="3"/>
    <n v="11"/>
    <s v="SOUTHEAST"/>
    <s v="Active"/>
    <s v="10+ Years"/>
  </r>
  <r>
    <x v="384"/>
    <x v="0"/>
    <d v="2021-12-13T00:00:00"/>
    <x v="0"/>
    <d v="2022-09-19T00:00:00"/>
    <n v="0"/>
    <n v="25"/>
    <n v="30"/>
    <s v="CENTRAL"/>
    <s v="Inactive"/>
    <s v="10+ Years"/>
  </r>
  <r>
    <x v="385"/>
    <x v="0"/>
    <d v="2021-11-10T00:00:00"/>
    <x v="0"/>
    <d v="2022-09-14T00:00:00"/>
    <n v="0"/>
    <n v="28"/>
    <n v="26"/>
    <s v="MIDWEST"/>
    <s v="Active"/>
    <s v="10+ Years"/>
  </r>
  <r>
    <x v="386"/>
    <x v="0"/>
    <d v="2021-03-31T00:00:00"/>
    <x v="0"/>
    <d v="2022-09-19T00:00:00"/>
    <n v="0"/>
    <n v="31"/>
    <n v="27"/>
    <s v="MIDWEST"/>
    <s v="Active"/>
    <s v="10+ Years"/>
  </r>
  <r>
    <x v="387"/>
    <x v="0"/>
    <d v="2021-02-04T00:00:00"/>
    <x v="0"/>
    <d v="2022-09-20T00:00:00"/>
    <n v="0"/>
    <n v="48"/>
    <n v="20"/>
    <s v="MIDWEST"/>
    <s v="Active"/>
    <s v="10+ Years"/>
  </r>
  <r>
    <x v="388"/>
    <x v="1"/>
    <d v="2020-08-26T00:00:00"/>
    <x v="1"/>
    <d v="2020-11-16T00:00:00"/>
    <n v="0"/>
    <n v="6"/>
    <n v="26"/>
    <s v="NORTHEAST"/>
    <s v="Inactive"/>
    <s v="10+ Years"/>
  </r>
  <r>
    <x v="389"/>
    <x v="1"/>
    <d v="2020-08-17T00:00:00"/>
    <x v="1"/>
    <d v="2022-09-14T00:00:00"/>
    <n v="0"/>
    <n v="25"/>
    <n v="18"/>
    <s v="NORTHEAST"/>
    <s v="Active"/>
    <s v="10+ Years"/>
  </r>
  <r>
    <x v="390"/>
    <x v="1"/>
    <d v="2020-06-22T00:00:00"/>
    <x v="1"/>
    <d v="2021-06-23T00:00:00"/>
    <n v="0"/>
    <n v="40"/>
    <n v="9"/>
    <s v="MIDWEST"/>
    <s v="Inactive"/>
    <s v="10+ Years"/>
  </r>
  <r>
    <x v="391"/>
    <x v="8"/>
    <d v="2020-06-17T00:00:00"/>
    <x v="1"/>
    <d v="2022-09-21T00:00:00"/>
    <n v="0"/>
    <n v="0"/>
    <n v="21"/>
    <s v="MIDWEST"/>
    <s v="Active"/>
    <s v="5-10 Yea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Specialty">
  <location ref="A3:B9" firstHeaderRow="1" firstDataRow="1" firstDataCol="1"/>
  <pivotFields count="11">
    <pivotField showAll="0"/>
    <pivotField axis="axisRow" showAll="0" measureFilter="1" sortType="descending">
      <items count="17">
        <item x="6"/>
        <item x="0"/>
        <item x="15"/>
        <item x="3"/>
        <item x="4"/>
        <item x="2"/>
        <item x="5"/>
        <item x="9"/>
        <item x="7"/>
        <item x="12"/>
        <item x="8"/>
        <item x="1"/>
        <item x="13"/>
        <item x="14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numFmtId="14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1"/>
    </i>
    <i>
      <x v="11"/>
    </i>
    <i>
      <x v="10"/>
    </i>
    <i>
      <x/>
    </i>
    <i>
      <x v="3"/>
    </i>
    <i t="grand">
      <x/>
    </i>
  </rowItems>
  <colItems count="1">
    <i/>
  </colItems>
  <dataFields count="1">
    <dataField name="Sum of Enrollments" fld="5" baseField="0" baseItem="0"/>
  </dataFields>
  <formats count="6">
    <format dxfId="11">
      <pivotArea collapsedLevelsAreSubtotals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  <format dxfId="10">
      <pivotArea dataOnly="0" labelOnly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  <format dxfId="9">
      <pivotArea collapsedLevelsAreSubtotals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  <format dxfId="8">
      <pivotArea dataOnly="0" labelOnly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  <format dxfId="7">
      <pivotArea collapsedLevelsAreSubtotals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  <format dxfId="6">
      <pivotArea dataOnly="0" labelOnly="1" fieldPosition="0">
        <references count="1">
          <reference field="1" count="5">
            <x v="0"/>
            <x v="1"/>
            <x v="3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Rx_Duration_Bucket">
  <location ref="A3:B9" firstHeaderRow="1" firstDataRow="1" firstDataCol="1"/>
  <pivotFields count="2">
    <pivotField axis="axisRow" allDrilled="1" showAll="0" defaultAttributeDrillState="1">
      <items count="6">
        <item x="0"/>
        <item x="2"/>
        <item x="3"/>
        <item x="4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HCP Count_x000a_" fld="1" subtotal="count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HCP Count_x000a_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ase Study v1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Rx Duration Bucket">
  <location ref="A3:B9" firstHeaderRow="1" firstDataRow="1" firstDataCol="1"/>
  <pivotFields count="2">
    <pivotField axis="axisRow" allDrilled="1" showAll="0" defaultAttributeDrillState="1">
      <items count="6">
        <item x="0"/>
        <item x="2"/>
        <item x="3"/>
        <item x="4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Enrollments" fld="1" subtotal="average" baseField="0" baseItem="0"/>
  </dataFields>
  <pivotHierarchies count="1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Enrollments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B1:L393" totalsRowShown="0" headerRowDxfId="26" headerRowBorderDxfId="25" tableBorderDxfId="24" totalsRowBorderDxfId="23" headerRowCellStyle="Comma">
  <autoFilter ref="B1:L393"/>
  <sortState ref="B2:L393">
    <sortCondition descending="1" ref="G1:G393"/>
  </sortState>
  <tableColumns count="11">
    <tableColumn id="9" name="Q1- HCP Unique Identifier" dataDxfId="22">
      <calculatedColumnFormula>"HCP_"&amp;Table1[[#This Row],[Specialty]]&amp;Table1[[#This Row],[Rx_Start_Year]]&amp;Table1[[#This Row],[Area Name]]&amp;Table1[[#This Row],[Enrollments]]&amp;Table1[[#This Row],[NPS]]&amp;Table1[[#This Row],[Discontinuations]]</calculatedColumnFormula>
    </tableColumn>
    <tableColumn id="19" name="Specialty" dataDxfId="21"/>
    <tableColumn id="6" name="Date of 1st Dispense" dataDxfId="20"/>
    <tableColumn id="3" name="Rx_Start_Year" dataDxfId="19">
      <calculatedColumnFormula>TEXT(D2,"yyyy")</calculatedColumnFormula>
    </tableColumn>
    <tableColumn id="7" name="Date of last Dispense" dataDxfId="18"/>
    <tableColumn id="10" name="Enrollments" dataDxfId="17" dataCellStyle="Comma"/>
    <tableColumn id="22" name="NPS" dataDxfId="16"/>
    <tableColumn id="8" name="Discontinuations" dataDxfId="15"/>
    <tableColumn id="14" name="Area Name" dataDxfId="14"/>
    <tableColumn id="18" name="Active HCP" dataDxfId="13"/>
    <tableColumn id="2" name="Rx_Duration_Bucket" dataDxfId="12">
      <calculatedColumnFormula>IF(I1&lt;=1,"0-1 Years",
IF(I1&lt;=3,"1-3 Years",
IF(I1&lt;=5,"3-5 Years",
IF(I1&lt;=10,"5-10 Years",
"10+ Years"))))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A13" sqref="A13"/>
    </sheetView>
  </sheetViews>
  <sheetFormatPr defaultRowHeight="14.4" x14ac:dyDescent="0.3"/>
  <cols>
    <col min="1" max="1" width="65.5546875" bestFit="1" customWidth="1"/>
    <col min="2" max="2" width="79.21875" bestFit="1" customWidth="1"/>
  </cols>
  <sheetData>
    <row r="1" spans="1:2" x14ac:dyDescent="0.3">
      <c r="A1" t="s">
        <v>31</v>
      </c>
    </row>
    <row r="2" spans="1:2" x14ac:dyDescent="0.3">
      <c r="A2" t="s">
        <v>33</v>
      </c>
    </row>
    <row r="3" spans="1:2" x14ac:dyDescent="0.3">
      <c r="A3" t="s">
        <v>32</v>
      </c>
    </row>
    <row r="4" spans="1:2" ht="15" thickBot="1" x14ac:dyDescent="0.35"/>
    <row r="5" spans="1:2" x14ac:dyDescent="0.3">
      <c r="A5" s="44" t="s">
        <v>34</v>
      </c>
      <c r="B5" s="45" t="s">
        <v>62</v>
      </c>
    </row>
    <row r="6" spans="1:2" x14ac:dyDescent="0.3">
      <c r="A6" s="46" t="s">
        <v>38</v>
      </c>
      <c r="B6" s="47" t="s">
        <v>60</v>
      </c>
    </row>
    <row r="7" spans="1:2" x14ac:dyDescent="0.3">
      <c r="A7" s="46" t="s">
        <v>36</v>
      </c>
      <c r="B7" s="47" t="s">
        <v>61</v>
      </c>
    </row>
    <row r="8" spans="1:2" x14ac:dyDescent="0.3">
      <c r="A8" s="48" t="s">
        <v>35</v>
      </c>
      <c r="B8" s="47" t="s">
        <v>63</v>
      </c>
    </row>
    <row r="9" spans="1:2" x14ac:dyDescent="0.3">
      <c r="A9" s="46" t="s">
        <v>39</v>
      </c>
      <c r="B9" s="47" t="s">
        <v>64</v>
      </c>
    </row>
    <row r="10" spans="1:2" x14ac:dyDescent="0.3">
      <c r="A10" s="46" t="s">
        <v>40</v>
      </c>
      <c r="B10" s="47" t="s">
        <v>65</v>
      </c>
    </row>
    <row r="11" spans="1:2" ht="15" thickBot="1" x14ac:dyDescent="0.35">
      <c r="A11" s="49" t="s">
        <v>37</v>
      </c>
      <c r="B11" s="50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393"/>
  <sheetViews>
    <sheetView zoomScaleNormal="100" workbookViewId="0">
      <selection activeCell="B1" sqref="B1"/>
    </sheetView>
  </sheetViews>
  <sheetFormatPr defaultRowHeight="14.4" x14ac:dyDescent="0.3"/>
  <cols>
    <col min="1" max="1" width="3.5546875" customWidth="1"/>
    <col min="2" max="2" width="29.109375" style="1" bestFit="1" customWidth="1"/>
    <col min="3" max="3" width="29.109375" bestFit="1" customWidth="1"/>
    <col min="4" max="5" width="26.109375" style="2" customWidth="1"/>
    <col min="6" max="6" width="21.88671875" style="2" customWidth="1"/>
    <col min="7" max="7" width="21.33203125" style="2" customWidth="1"/>
    <col min="8" max="9" width="20.109375" style="2" customWidth="1"/>
    <col min="10" max="10" width="19.6640625" style="3" customWidth="1"/>
    <col min="11" max="11" width="23.6640625" customWidth="1"/>
    <col min="12" max="13" width="31.44140625" customWidth="1"/>
    <col min="14" max="14" width="65.5546875" bestFit="1" customWidth="1"/>
    <col min="15" max="15" width="31.44140625" customWidth="1"/>
    <col min="16" max="16" width="63.44140625" style="15" customWidth="1"/>
    <col min="17" max="17" width="20.6640625" style="4" customWidth="1"/>
    <col min="18" max="18" width="20.44140625" customWidth="1"/>
    <col min="19" max="19" width="12.6640625" customWidth="1"/>
    <col min="20" max="20" width="25.5546875" style="5" customWidth="1"/>
    <col min="21" max="21" width="24.109375" style="3" customWidth="1"/>
    <col min="22" max="22" width="17" bestFit="1" customWidth="1"/>
    <col min="23" max="23" width="17.109375" customWidth="1"/>
    <col min="24" max="24" width="9.109375" customWidth="1"/>
    <col min="25" max="25" width="13.5546875" style="1" bestFit="1" customWidth="1"/>
    <col min="26" max="26" width="11.109375" style="6" customWidth="1"/>
    <col min="27" max="27" width="19.109375" style="7" bestFit="1" customWidth="1"/>
  </cols>
  <sheetData>
    <row r="1" spans="2:27" x14ac:dyDescent="0.3">
      <c r="B1" s="43" t="s">
        <v>59</v>
      </c>
      <c r="C1" s="16" t="s">
        <v>0</v>
      </c>
      <c r="D1" s="17" t="s">
        <v>1</v>
      </c>
      <c r="E1" s="17" t="s">
        <v>51</v>
      </c>
      <c r="F1" s="17" t="s">
        <v>2</v>
      </c>
      <c r="G1" s="16" t="s">
        <v>3</v>
      </c>
      <c r="H1" s="16" t="s">
        <v>4</v>
      </c>
      <c r="I1" s="16" t="s">
        <v>5</v>
      </c>
      <c r="J1" s="18" t="s">
        <v>6</v>
      </c>
      <c r="K1" s="19" t="s">
        <v>7</v>
      </c>
      <c r="L1" s="16" t="s">
        <v>42</v>
      </c>
      <c r="M1" s="23"/>
      <c r="P1"/>
      <c r="Q1"/>
      <c r="T1"/>
      <c r="U1"/>
      <c r="Y1"/>
      <c r="Z1"/>
      <c r="AA1"/>
    </row>
    <row r="2" spans="2:27" x14ac:dyDescent="0.3">
      <c r="B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HCP_AI2021SOUTHEAST70027</v>
      </c>
      <c r="C2" s="9" t="s">
        <v>8</v>
      </c>
      <c r="D2" s="10">
        <v>44495</v>
      </c>
      <c r="E2" s="10" t="str">
        <f t="shared" ref="E2:E65" si="0">TEXT(D2,"yyyy")</f>
        <v>2021</v>
      </c>
      <c r="F2" s="10">
        <v>44617</v>
      </c>
      <c r="G2" s="9">
        <v>70</v>
      </c>
      <c r="H2" s="9">
        <v>0</v>
      </c>
      <c r="I2" s="9">
        <v>27</v>
      </c>
      <c r="J2" s="9" t="s">
        <v>19</v>
      </c>
      <c r="K2" s="11" t="s">
        <v>16</v>
      </c>
      <c r="L2" t="str">
        <f t="shared" ref="L2:L65" si="1">IF(I1&lt;=1,"0-1 Years",
IF(I1&lt;=3,"1-3 Years",
IF(I1&lt;=5,"3-5 Years",
IF(I1&lt;=10,"5-10 Years",
"10+ Years"))))</f>
        <v>10+ Years</v>
      </c>
      <c r="P2"/>
      <c r="Q2"/>
      <c r="T2"/>
      <c r="U2"/>
      <c r="Y2"/>
      <c r="Z2"/>
      <c r="AA2"/>
    </row>
    <row r="3" spans="2:27" x14ac:dyDescent="0.3">
      <c r="B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HCP_PDA2021MIDWEST70109</v>
      </c>
      <c r="C3" s="9" t="s">
        <v>17</v>
      </c>
      <c r="D3" s="10">
        <v>44257</v>
      </c>
      <c r="E3" s="10" t="str">
        <f t="shared" si="0"/>
        <v>2021</v>
      </c>
      <c r="F3" s="10">
        <v>44732</v>
      </c>
      <c r="G3" s="9">
        <v>70</v>
      </c>
      <c r="H3" s="9">
        <v>10</v>
      </c>
      <c r="I3" s="9">
        <v>9</v>
      </c>
      <c r="J3" s="9" t="s">
        <v>13</v>
      </c>
      <c r="K3" s="11" t="s">
        <v>16</v>
      </c>
      <c r="L3" t="str">
        <f t="shared" si="1"/>
        <v>10+ Years</v>
      </c>
      <c r="P3"/>
      <c r="Q3"/>
      <c r="T3"/>
      <c r="U3"/>
      <c r="Y3"/>
      <c r="Z3"/>
      <c r="AA3"/>
    </row>
    <row r="4" spans="2:27" x14ac:dyDescent="0.3">
      <c r="B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HCP_AI2021MIDWEST70821</v>
      </c>
      <c r="C4" s="9" t="s">
        <v>8</v>
      </c>
      <c r="D4" s="10">
        <v>44252</v>
      </c>
      <c r="E4" s="10" t="str">
        <f t="shared" si="0"/>
        <v>2021</v>
      </c>
      <c r="F4" s="10">
        <v>44825</v>
      </c>
      <c r="G4" s="9">
        <v>70</v>
      </c>
      <c r="H4" s="9">
        <v>8</v>
      </c>
      <c r="I4" s="9">
        <v>21</v>
      </c>
      <c r="J4" s="9" t="s">
        <v>13</v>
      </c>
      <c r="K4" s="11" t="s">
        <v>10</v>
      </c>
      <c r="L4" t="str">
        <f t="shared" si="1"/>
        <v>5-10 Years</v>
      </c>
      <c r="P4"/>
      <c r="Q4"/>
      <c r="T4"/>
      <c r="U4"/>
      <c r="Y4"/>
      <c r="Z4"/>
      <c r="AA4"/>
    </row>
    <row r="5" spans="2:27" x14ac:dyDescent="0.3">
      <c r="B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HCP_AI2021CENTRAL70930</v>
      </c>
      <c r="C5" s="9" t="s">
        <v>8</v>
      </c>
      <c r="D5" s="10">
        <v>44236</v>
      </c>
      <c r="E5" s="10" t="str">
        <f t="shared" si="0"/>
        <v>2021</v>
      </c>
      <c r="F5" s="10">
        <v>44823</v>
      </c>
      <c r="G5" s="9">
        <v>70</v>
      </c>
      <c r="H5" s="9">
        <v>9</v>
      </c>
      <c r="I5" s="9">
        <v>30</v>
      </c>
      <c r="J5" s="9" t="s">
        <v>14</v>
      </c>
      <c r="K5" s="11" t="s">
        <v>10</v>
      </c>
      <c r="L5" t="str">
        <f t="shared" si="1"/>
        <v>10+ Years</v>
      </c>
      <c r="P5"/>
      <c r="Q5"/>
      <c r="T5"/>
      <c r="U5"/>
      <c r="Y5"/>
      <c r="Z5"/>
      <c r="AA5"/>
    </row>
    <row r="6" spans="2:27" x14ac:dyDescent="0.3">
      <c r="B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HCP_AI2020WEST704822</v>
      </c>
      <c r="C6" s="9" t="s">
        <v>8</v>
      </c>
      <c r="D6" s="10">
        <v>44182</v>
      </c>
      <c r="E6" s="10" t="str">
        <f t="shared" si="0"/>
        <v>2020</v>
      </c>
      <c r="F6" s="10">
        <v>44330</v>
      </c>
      <c r="G6" s="9">
        <v>70</v>
      </c>
      <c r="H6" s="9">
        <v>48</v>
      </c>
      <c r="I6" s="9">
        <v>22</v>
      </c>
      <c r="J6" s="9" t="s">
        <v>9</v>
      </c>
      <c r="K6" s="11" t="s">
        <v>16</v>
      </c>
      <c r="L6" t="str">
        <f t="shared" si="1"/>
        <v>10+ Years</v>
      </c>
      <c r="P6"/>
      <c r="Q6"/>
      <c r="T6"/>
      <c r="U6"/>
      <c r="Y6"/>
      <c r="Z6"/>
      <c r="AA6"/>
    </row>
    <row r="7" spans="2:27" x14ac:dyDescent="0.3">
      <c r="B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HCP_AI2020WEST703123</v>
      </c>
      <c r="C7" s="9" t="s">
        <v>8</v>
      </c>
      <c r="D7" s="10">
        <v>44168</v>
      </c>
      <c r="E7" s="10" t="str">
        <f t="shared" si="0"/>
        <v>2020</v>
      </c>
      <c r="F7" s="10">
        <v>44819</v>
      </c>
      <c r="G7" s="9">
        <v>70</v>
      </c>
      <c r="H7" s="9">
        <v>31</v>
      </c>
      <c r="I7" s="9">
        <v>23</v>
      </c>
      <c r="J7" s="9" t="s">
        <v>9</v>
      </c>
      <c r="K7" s="11" t="s">
        <v>10</v>
      </c>
      <c r="L7" t="str">
        <f t="shared" si="1"/>
        <v>10+ Years</v>
      </c>
      <c r="P7"/>
      <c r="Q7"/>
      <c r="T7"/>
      <c r="U7"/>
      <c r="Y7"/>
      <c r="Z7"/>
      <c r="AA7"/>
    </row>
    <row r="8" spans="2:27" x14ac:dyDescent="0.3">
      <c r="B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HCP_AI2020WEST70924</v>
      </c>
      <c r="C8" s="9" t="s">
        <v>8</v>
      </c>
      <c r="D8" s="10">
        <v>44132</v>
      </c>
      <c r="E8" s="10" t="str">
        <f t="shared" si="0"/>
        <v>2020</v>
      </c>
      <c r="F8" s="10">
        <v>44558</v>
      </c>
      <c r="G8" s="9">
        <v>70</v>
      </c>
      <c r="H8" s="9">
        <v>9</v>
      </c>
      <c r="I8" s="9">
        <v>24</v>
      </c>
      <c r="J8" s="9" t="s">
        <v>9</v>
      </c>
      <c r="K8" s="11" t="s">
        <v>16</v>
      </c>
      <c r="L8" t="str">
        <f t="shared" si="1"/>
        <v>10+ Years</v>
      </c>
      <c r="N8" t="s">
        <v>31</v>
      </c>
      <c r="P8"/>
      <c r="Q8"/>
      <c r="T8"/>
      <c r="U8"/>
      <c r="Y8"/>
      <c r="Z8"/>
      <c r="AA8"/>
    </row>
    <row r="9" spans="2:27" x14ac:dyDescent="0.3">
      <c r="B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HCP_AI2020WEST70410</v>
      </c>
      <c r="C9" s="9" t="s">
        <v>8</v>
      </c>
      <c r="D9" s="10">
        <v>44117</v>
      </c>
      <c r="E9" s="10" t="str">
        <f t="shared" si="0"/>
        <v>2020</v>
      </c>
      <c r="F9" s="10">
        <v>44824</v>
      </c>
      <c r="G9" s="9">
        <v>70</v>
      </c>
      <c r="H9" s="9">
        <v>4</v>
      </c>
      <c r="I9" s="9">
        <v>10</v>
      </c>
      <c r="J9" s="9" t="s">
        <v>9</v>
      </c>
      <c r="K9" s="11" t="s">
        <v>10</v>
      </c>
      <c r="L9" t="str">
        <f t="shared" si="1"/>
        <v>10+ Years</v>
      </c>
      <c r="N9" t="s">
        <v>33</v>
      </c>
      <c r="P9"/>
      <c r="Q9"/>
      <c r="T9"/>
      <c r="U9"/>
      <c r="Y9"/>
      <c r="Z9"/>
      <c r="AA9"/>
    </row>
    <row r="10" spans="2:27" x14ac:dyDescent="0.3">
      <c r="B1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HCP_AI2020CENTRAL703616</v>
      </c>
      <c r="C10" s="9" t="s">
        <v>8</v>
      </c>
      <c r="D10" s="10">
        <v>44091</v>
      </c>
      <c r="E10" s="10" t="str">
        <f t="shared" si="0"/>
        <v>2020</v>
      </c>
      <c r="F10" s="10">
        <v>44543</v>
      </c>
      <c r="G10" s="9">
        <v>70</v>
      </c>
      <c r="H10" s="9">
        <v>36</v>
      </c>
      <c r="I10" s="9">
        <v>16</v>
      </c>
      <c r="J10" s="9" t="s">
        <v>14</v>
      </c>
      <c r="K10" s="11" t="s">
        <v>16</v>
      </c>
      <c r="L10" t="str">
        <f t="shared" si="1"/>
        <v>5-10 Years</v>
      </c>
      <c r="N10" t="s">
        <v>32</v>
      </c>
      <c r="P10"/>
      <c r="Q10"/>
      <c r="T10"/>
      <c r="U10"/>
      <c r="Y10"/>
      <c r="Z10"/>
      <c r="AA10"/>
    </row>
    <row r="11" spans="2:27" x14ac:dyDescent="0.3">
      <c r="B1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HCP_AI2020NORTHEAST702030</v>
      </c>
      <c r="C11" s="9" t="s">
        <v>8</v>
      </c>
      <c r="D11" s="10">
        <v>44033</v>
      </c>
      <c r="E11" s="10" t="str">
        <f t="shared" si="0"/>
        <v>2020</v>
      </c>
      <c r="F11" s="10">
        <v>44179</v>
      </c>
      <c r="G11" s="9">
        <v>70</v>
      </c>
      <c r="H11" s="9">
        <v>20</v>
      </c>
      <c r="I11" s="9">
        <v>30</v>
      </c>
      <c r="J11" s="9" t="s">
        <v>15</v>
      </c>
      <c r="K11" s="11" t="s">
        <v>16</v>
      </c>
      <c r="L11" t="str">
        <f t="shared" si="1"/>
        <v>10+ Years</v>
      </c>
      <c r="P11"/>
      <c r="Q11"/>
      <c r="T11"/>
      <c r="U11"/>
      <c r="Y11"/>
      <c r="Z11"/>
      <c r="AA11"/>
    </row>
    <row r="12" spans="2:27" x14ac:dyDescent="0.3">
      <c r="B1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HCP_AI2022WEST692826</v>
      </c>
      <c r="C12" s="9" t="s">
        <v>8</v>
      </c>
      <c r="D12" s="10">
        <v>44592</v>
      </c>
      <c r="E12" s="10" t="str">
        <f t="shared" si="0"/>
        <v>2022</v>
      </c>
      <c r="F12" s="10">
        <v>44804</v>
      </c>
      <c r="G12" s="9">
        <v>69</v>
      </c>
      <c r="H12" s="9">
        <v>28</v>
      </c>
      <c r="I12" s="9">
        <v>26</v>
      </c>
      <c r="J12" s="9" t="s">
        <v>9</v>
      </c>
      <c r="K12" s="11" t="s">
        <v>10</v>
      </c>
      <c r="L12" t="str">
        <f t="shared" si="1"/>
        <v>10+ Years</v>
      </c>
      <c r="N12" s="21" t="s">
        <v>34</v>
      </c>
      <c r="P12"/>
      <c r="Q12"/>
      <c r="T12"/>
      <c r="U12"/>
      <c r="Y12"/>
      <c r="Z12"/>
      <c r="AA12"/>
    </row>
    <row r="13" spans="2:27" x14ac:dyDescent="0.3">
      <c r="B1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HCP_AI2021WEST69191</v>
      </c>
      <c r="C13" s="9" t="s">
        <v>8</v>
      </c>
      <c r="D13" s="10">
        <v>44376</v>
      </c>
      <c r="E13" s="10" t="str">
        <f t="shared" si="0"/>
        <v>2021</v>
      </c>
      <c r="F13" s="10">
        <v>44817</v>
      </c>
      <c r="G13" s="9">
        <v>69</v>
      </c>
      <c r="H13" s="9">
        <v>19</v>
      </c>
      <c r="I13" s="9">
        <v>1</v>
      </c>
      <c r="J13" s="9" t="s">
        <v>9</v>
      </c>
      <c r="K13" s="11" t="s">
        <v>10</v>
      </c>
      <c r="L13" t="str">
        <f t="shared" si="1"/>
        <v>10+ Years</v>
      </c>
      <c r="N13" t="s">
        <v>38</v>
      </c>
      <c r="P13"/>
      <c r="Q13"/>
      <c r="T13"/>
      <c r="U13"/>
      <c r="Y13"/>
      <c r="Z13"/>
      <c r="AA13"/>
    </row>
    <row r="14" spans="2:27" x14ac:dyDescent="0.3">
      <c r="B14" s="8" t="str">
        <f>"HCP_"&amp;Table1[[#This Row],[Specialty]]&amp;Table1[[#This Row],[Rx_Start_Year]]&amp;Table1[[#This Row],[Area Name]]&amp;Table1[[#This Row],[Enrollments]]&amp;Table1[[#This Row],[NPS]]&amp;Table1[[#This Row],[Discontinuations]]</f>
        <v>HCP_IG2021MIDWEST693218</v>
      </c>
      <c r="C14" s="9" t="s">
        <v>24</v>
      </c>
      <c r="D14" s="10">
        <v>44228</v>
      </c>
      <c r="E14" s="10" t="str">
        <f t="shared" si="0"/>
        <v>2021</v>
      </c>
      <c r="F14" s="10">
        <v>44816</v>
      </c>
      <c r="G14" s="9">
        <v>69</v>
      </c>
      <c r="H14" s="9">
        <v>32</v>
      </c>
      <c r="I14" s="9">
        <v>18</v>
      </c>
      <c r="J14" s="9" t="s">
        <v>13</v>
      </c>
      <c r="K14" s="11" t="s">
        <v>10</v>
      </c>
      <c r="L14" t="str">
        <f t="shared" si="1"/>
        <v>0-1 Years</v>
      </c>
      <c r="N14" t="s">
        <v>36</v>
      </c>
      <c r="P14"/>
      <c r="Q14"/>
      <c r="T14"/>
      <c r="U14"/>
      <c r="Y14"/>
      <c r="Z14"/>
      <c r="AA14"/>
    </row>
    <row r="15" spans="2:27" x14ac:dyDescent="0.3">
      <c r="B15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HCP_FM2021NORTHEAST681214</v>
      </c>
      <c r="C15" s="9" t="s">
        <v>18</v>
      </c>
      <c r="D15" s="10">
        <v>44291</v>
      </c>
      <c r="E15" s="10" t="str">
        <f t="shared" si="0"/>
        <v>2021</v>
      </c>
      <c r="F15" s="10">
        <v>44607</v>
      </c>
      <c r="G15" s="9">
        <v>68</v>
      </c>
      <c r="H15" s="9">
        <v>12</v>
      </c>
      <c r="I15" s="9">
        <v>14</v>
      </c>
      <c r="J15" s="9" t="s">
        <v>15</v>
      </c>
      <c r="K15" s="11" t="s">
        <v>16</v>
      </c>
      <c r="L15" t="str">
        <f t="shared" si="1"/>
        <v>10+ Years</v>
      </c>
      <c r="N15" s="20" t="s">
        <v>35</v>
      </c>
      <c r="P15"/>
      <c r="Q15"/>
      <c r="T15"/>
      <c r="U15"/>
      <c r="Y15"/>
      <c r="Z15"/>
      <c r="AA15"/>
    </row>
    <row r="16" spans="2:27" x14ac:dyDescent="0.3">
      <c r="B16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HCP_FM2021NORTHEAST681416</v>
      </c>
      <c r="C16" s="9" t="s">
        <v>18</v>
      </c>
      <c r="D16" s="10">
        <v>44264</v>
      </c>
      <c r="E16" s="10" t="str">
        <f t="shared" si="0"/>
        <v>2021</v>
      </c>
      <c r="F16" s="10">
        <v>44825</v>
      </c>
      <c r="G16" s="9">
        <v>68</v>
      </c>
      <c r="H16" s="9">
        <v>14</v>
      </c>
      <c r="I16" s="9">
        <v>16</v>
      </c>
      <c r="J16" s="9" t="s">
        <v>15</v>
      </c>
      <c r="K16" s="11" t="s">
        <v>10</v>
      </c>
      <c r="L16" t="str">
        <f t="shared" si="1"/>
        <v>10+ Years</v>
      </c>
      <c r="N16" t="s">
        <v>39</v>
      </c>
      <c r="P16"/>
      <c r="Q16"/>
      <c r="T16"/>
      <c r="U16"/>
      <c r="Y16"/>
      <c r="Z16"/>
      <c r="AA16"/>
    </row>
    <row r="17" spans="2:27" x14ac:dyDescent="0.3">
      <c r="B1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HCP_AI2020WEST682310</v>
      </c>
      <c r="C17" s="9" t="s">
        <v>8</v>
      </c>
      <c r="D17" s="10">
        <v>44104</v>
      </c>
      <c r="E17" s="10" t="str">
        <f t="shared" si="0"/>
        <v>2020</v>
      </c>
      <c r="F17" s="10">
        <v>44287</v>
      </c>
      <c r="G17" s="9">
        <v>68</v>
      </c>
      <c r="H17" s="9">
        <v>23</v>
      </c>
      <c r="I17" s="9">
        <v>10</v>
      </c>
      <c r="J17" s="9" t="s">
        <v>9</v>
      </c>
      <c r="K17" s="11" t="s">
        <v>16</v>
      </c>
      <c r="L17" t="str">
        <f t="shared" si="1"/>
        <v>10+ Years</v>
      </c>
      <c r="N17" t="s">
        <v>40</v>
      </c>
      <c r="P17"/>
      <c r="Q17"/>
      <c r="T17"/>
      <c r="U17"/>
      <c r="Y17"/>
      <c r="Z17"/>
      <c r="AA17"/>
    </row>
    <row r="18" spans="2:27" x14ac:dyDescent="0.3">
      <c r="B1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HCP_AI2022CENTRAL67445</v>
      </c>
      <c r="C18" s="9" t="s">
        <v>8</v>
      </c>
      <c r="D18" s="10">
        <v>44579</v>
      </c>
      <c r="E18" s="10" t="str">
        <f t="shared" si="0"/>
        <v>2022</v>
      </c>
      <c r="F18" s="10">
        <v>44803</v>
      </c>
      <c r="G18" s="9">
        <v>67</v>
      </c>
      <c r="H18" s="9">
        <v>44</v>
      </c>
      <c r="I18" s="9">
        <v>5</v>
      </c>
      <c r="J18" s="9" t="s">
        <v>14</v>
      </c>
      <c r="K18" s="11" t="s">
        <v>10</v>
      </c>
      <c r="L18" t="str">
        <f t="shared" si="1"/>
        <v>5-10 Years</v>
      </c>
      <c r="N18" t="s">
        <v>37</v>
      </c>
      <c r="P18"/>
      <c r="Q18"/>
      <c r="T18"/>
      <c r="U18"/>
      <c r="Y18"/>
      <c r="Z18"/>
      <c r="AA18"/>
    </row>
    <row r="19" spans="2:27" x14ac:dyDescent="0.3">
      <c r="B1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HCP_AI2021WEST67174</v>
      </c>
      <c r="C19" s="9" t="s">
        <v>8</v>
      </c>
      <c r="D19" s="10">
        <v>44412</v>
      </c>
      <c r="E19" s="10" t="str">
        <f t="shared" si="0"/>
        <v>2021</v>
      </c>
      <c r="F19" s="10">
        <v>44412</v>
      </c>
      <c r="G19" s="9">
        <v>67</v>
      </c>
      <c r="H19" s="9">
        <v>17</v>
      </c>
      <c r="I19" s="9">
        <v>4</v>
      </c>
      <c r="J19" s="9" t="s">
        <v>9</v>
      </c>
      <c r="K19" s="11" t="s">
        <v>16</v>
      </c>
      <c r="L19" t="str">
        <f t="shared" si="1"/>
        <v>3-5 Years</v>
      </c>
      <c r="N19" s="15"/>
      <c r="P19"/>
      <c r="Q19"/>
      <c r="T19"/>
      <c r="U19"/>
      <c r="Y19"/>
      <c r="Z19"/>
      <c r="AA19"/>
    </row>
    <row r="20" spans="2:27" x14ac:dyDescent="0.3">
      <c r="B2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HCP_AI2020MIDWEST67429</v>
      </c>
      <c r="C20" s="9" t="s">
        <v>8</v>
      </c>
      <c r="D20" s="10">
        <v>44130</v>
      </c>
      <c r="E20" s="10" t="str">
        <f t="shared" si="0"/>
        <v>2020</v>
      </c>
      <c r="F20" s="10">
        <v>44824</v>
      </c>
      <c r="G20" s="9">
        <v>67</v>
      </c>
      <c r="H20" s="9">
        <v>4</v>
      </c>
      <c r="I20" s="9">
        <v>29</v>
      </c>
      <c r="J20" s="9" t="s">
        <v>13</v>
      </c>
      <c r="K20" s="11" t="s">
        <v>10</v>
      </c>
      <c r="L20" t="str">
        <f t="shared" si="1"/>
        <v>3-5 Years</v>
      </c>
      <c r="P20"/>
      <c r="Q20"/>
      <c r="T20"/>
      <c r="U20"/>
      <c r="Y20"/>
      <c r="Z20"/>
      <c r="AA20"/>
    </row>
    <row r="21" spans="2:27" x14ac:dyDescent="0.3">
      <c r="B2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HCP_PDA2021NORTHEAST671112</v>
      </c>
      <c r="C21" s="9" t="s">
        <v>17</v>
      </c>
      <c r="D21" s="10">
        <v>44258</v>
      </c>
      <c r="E21" s="10" t="str">
        <f t="shared" si="0"/>
        <v>2021</v>
      </c>
      <c r="F21" s="10">
        <v>44508</v>
      </c>
      <c r="G21" s="9">
        <v>67</v>
      </c>
      <c r="H21" s="9">
        <v>11</v>
      </c>
      <c r="I21" s="9">
        <v>12</v>
      </c>
      <c r="J21" s="9" t="s">
        <v>15</v>
      </c>
      <c r="K21" s="11" t="s">
        <v>16</v>
      </c>
      <c r="L21" t="str">
        <f t="shared" si="1"/>
        <v>10+ Years</v>
      </c>
      <c r="P21"/>
      <c r="Q21"/>
      <c r="T21"/>
      <c r="U21"/>
      <c r="Y21"/>
      <c r="Z21"/>
      <c r="AA21"/>
    </row>
    <row r="22" spans="2:27" x14ac:dyDescent="0.3">
      <c r="B2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HCP_PDA2021SOUTHEAST67280</v>
      </c>
      <c r="C22" s="9" t="s">
        <v>17</v>
      </c>
      <c r="D22" s="10">
        <v>44235</v>
      </c>
      <c r="E22" s="10" t="str">
        <f t="shared" si="0"/>
        <v>2021</v>
      </c>
      <c r="F22" s="10">
        <v>44827</v>
      </c>
      <c r="G22" s="9">
        <v>67</v>
      </c>
      <c r="H22" s="9">
        <v>28</v>
      </c>
      <c r="I22" s="9">
        <v>0</v>
      </c>
      <c r="J22" s="9" t="s">
        <v>19</v>
      </c>
      <c r="K22" s="11" t="s">
        <v>10</v>
      </c>
      <c r="L22" t="str">
        <f t="shared" si="1"/>
        <v>10+ Years</v>
      </c>
      <c r="P22"/>
      <c r="Q22"/>
      <c r="T22"/>
      <c r="U22"/>
      <c r="Y22"/>
      <c r="Z22"/>
      <c r="AA22"/>
    </row>
    <row r="23" spans="2:27" x14ac:dyDescent="0.3">
      <c r="B2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HCP_PDA2021NORTHEAST674920</v>
      </c>
      <c r="C23" s="9" t="s">
        <v>17</v>
      </c>
      <c r="D23" s="10">
        <v>44207</v>
      </c>
      <c r="E23" s="10" t="str">
        <f t="shared" si="0"/>
        <v>2021</v>
      </c>
      <c r="F23" s="10">
        <v>44529</v>
      </c>
      <c r="G23" s="9">
        <v>67</v>
      </c>
      <c r="H23" s="9">
        <v>49</v>
      </c>
      <c r="I23" s="9">
        <v>20</v>
      </c>
      <c r="J23" s="9" t="s">
        <v>15</v>
      </c>
      <c r="K23" s="11" t="s">
        <v>16</v>
      </c>
      <c r="L23" t="str">
        <f t="shared" si="1"/>
        <v>0-1 Years</v>
      </c>
      <c r="P23"/>
      <c r="Q23"/>
      <c r="T23"/>
      <c r="U23"/>
      <c r="Y23"/>
      <c r="Z23"/>
      <c r="AA23"/>
    </row>
    <row r="24" spans="2:27" x14ac:dyDescent="0.3">
      <c r="B2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HCP_AI2020WEST67364</v>
      </c>
      <c r="C24" s="9" t="s">
        <v>8</v>
      </c>
      <c r="D24" s="10">
        <v>44130</v>
      </c>
      <c r="E24" s="10" t="str">
        <f t="shared" si="0"/>
        <v>2020</v>
      </c>
      <c r="F24" s="10">
        <v>44817</v>
      </c>
      <c r="G24" s="9">
        <v>67</v>
      </c>
      <c r="H24" s="9">
        <v>36</v>
      </c>
      <c r="I24" s="9">
        <v>4</v>
      </c>
      <c r="J24" s="9" t="s">
        <v>9</v>
      </c>
      <c r="K24" s="11" t="s">
        <v>10</v>
      </c>
      <c r="L24" t="str">
        <f t="shared" si="1"/>
        <v>10+ Years</v>
      </c>
      <c r="P24"/>
      <c r="Q24"/>
      <c r="T24"/>
      <c r="U24"/>
      <c r="Y24"/>
      <c r="Z24"/>
      <c r="AA24"/>
    </row>
    <row r="25" spans="2:27" x14ac:dyDescent="0.3">
      <c r="B2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HCP_AI2020SOUTHEAST67332</v>
      </c>
      <c r="C25" s="9" t="s">
        <v>8</v>
      </c>
      <c r="D25" s="10">
        <v>44095</v>
      </c>
      <c r="E25" s="10" t="str">
        <f t="shared" si="0"/>
        <v>2020</v>
      </c>
      <c r="F25" s="10">
        <v>44825</v>
      </c>
      <c r="G25" s="9">
        <v>67</v>
      </c>
      <c r="H25" s="9">
        <v>33</v>
      </c>
      <c r="I25" s="9">
        <v>2</v>
      </c>
      <c r="J25" s="9" t="s">
        <v>19</v>
      </c>
      <c r="K25" s="11" t="s">
        <v>10</v>
      </c>
      <c r="L25" t="str">
        <f t="shared" si="1"/>
        <v>3-5 Years</v>
      </c>
      <c r="P25"/>
      <c r="Q25"/>
      <c r="T25"/>
      <c r="U25"/>
      <c r="Y25"/>
      <c r="Z25"/>
      <c r="AA25"/>
    </row>
    <row r="26" spans="2:27" x14ac:dyDescent="0.3">
      <c r="B2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HCP_AI2021WEST663416</v>
      </c>
      <c r="C26" s="9" t="s">
        <v>8</v>
      </c>
      <c r="D26" s="10">
        <v>44538</v>
      </c>
      <c r="E26" s="10" t="str">
        <f t="shared" si="0"/>
        <v>2021</v>
      </c>
      <c r="F26" s="10">
        <v>44820</v>
      </c>
      <c r="G26" s="9">
        <v>66</v>
      </c>
      <c r="H26" s="9">
        <v>34</v>
      </c>
      <c r="I26" s="9">
        <v>16</v>
      </c>
      <c r="J26" s="9" t="s">
        <v>9</v>
      </c>
      <c r="K26" s="11" t="s">
        <v>16</v>
      </c>
      <c r="L26" t="str">
        <f t="shared" si="1"/>
        <v>1-3 Years</v>
      </c>
      <c r="P26"/>
      <c r="Q26"/>
      <c r="T26"/>
      <c r="U26"/>
      <c r="Y26"/>
      <c r="Z26"/>
      <c r="AA26"/>
    </row>
    <row r="27" spans="2:27" x14ac:dyDescent="0.3">
      <c r="B2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HCP_AI2021CENTRAL664011</v>
      </c>
      <c r="C27" s="9" t="s">
        <v>8</v>
      </c>
      <c r="D27" s="10">
        <v>44459</v>
      </c>
      <c r="E27" s="10" t="str">
        <f t="shared" si="0"/>
        <v>2021</v>
      </c>
      <c r="F27" s="10">
        <v>44825</v>
      </c>
      <c r="G27" s="9">
        <v>66</v>
      </c>
      <c r="H27" s="9">
        <v>40</v>
      </c>
      <c r="I27" s="9">
        <v>11</v>
      </c>
      <c r="J27" s="9" t="s">
        <v>14</v>
      </c>
      <c r="K27" s="11" t="s">
        <v>10</v>
      </c>
      <c r="L27" t="str">
        <f t="shared" si="1"/>
        <v>10+ Years</v>
      </c>
      <c r="P27"/>
      <c r="Q27"/>
      <c r="T27"/>
      <c r="U27"/>
      <c r="Y27"/>
      <c r="Z27"/>
      <c r="AA27"/>
    </row>
    <row r="28" spans="2:27" x14ac:dyDescent="0.3">
      <c r="B2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HCP_AI2021WEST66115</v>
      </c>
      <c r="C28" s="9" t="s">
        <v>8</v>
      </c>
      <c r="D28" s="10">
        <v>44453</v>
      </c>
      <c r="E28" s="10" t="str">
        <f t="shared" si="0"/>
        <v>2021</v>
      </c>
      <c r="F28" s="10">
        <v>44816</v>
      </c>
      <c r="G28" s="9">
        <v>66</v>
      </c>
      <c r="H28" s="9">
        <v>1</v>
      </c>
      <c r="I28" s="9">
        <v>15</v>
      </c>
      <c r="J28" s="9" t="s">
        <v>9</v>
      </c>
      <c r="K28" s="11" t="s">
        <v>10</v>
      </c>
      <c r="L28" t="str">
        <f t="shared" si="1"/>
        <v>10+ Years</v>
      </c>
      <c r="P28"/>
      <c r="Q28"/>
      <c r="T28"/>
      <c r="U28"/>
      <c r="Y28"/>
      <c r="Z28"/>
      <c r="AA28"/>
    </row>
    <row r="29" spans="2:27" x14ac:dyDescent="0.3">
      <c r="B29" s="8" t="str">
        <f>"HCP_"&amp;Table1[[#This Row],[Specialty]]&amp;Table1[[#This Row],[Rx_Start_Year]]&amp;Table1[[#This Row],[Area Name]]&amp;Table1[[#This Row],[Enrollments]]&amp;Table1[[#This Row],[NPS]]&amp;Table1[[#This Row],[Discontinuations]]</f>
        <v>HCP_GP2021CENTRAL66830</v>
      </c>
      <c r="C29" s="9" t="s">
        <v>23</v>
      </c>
      <c r="D29" s="10">
        <v>44452</v>
      </c>
      <c r="E29" s="10" t="str">
        <f t="shared" si="0"/>
        <v>2021</v>
      </c>
      <c r="F29" s="10">
        <v>44820</v>
      </c>
      <c r="G29" s="9">
        <v>66</v>
      </c>
      <c r="H29" s="9">
        <v>8</v>
      </c>
      <c r="I29" s="9">
        <v>30</v>
      </c>
      <c r="J29" s="9" t="s">
        <v>14</v>
      </c>
      <c r="K29" s="11" t="s">
        <v>10</v>
      </c>
      <c r="L29" t="str">
        <f t="shared" si="1"/>
        <v>10+ Years</v>
      </c>
      <c r="P29"/>
      <c r="Q29"/>
      <c r="T29"/>
      <c r="U29"/>
      <c r="Y29"/>
      <c r="Z29"/>
      <c r="AA29"/>
    </row>
    <row r="30" spans="2:27" x14ac:dyDescent="0.3">
      <c r="B30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HCP_PDA2021NORTHEAST66520</v>
      </c>
      <c r="C30" s="9" t="s">
        <v>17</v>
      </c>
      <c r="D30" s="10">
        <v>44368</v>
      </c>
      <c r="E30" s="10" t="str">
        <f t="shared" si="0"/>
        <v>2021</v>
      </c>
      <c r="F30" s="10">
        <v>44368</v>
      </c>
      <c r="G30" s="9">
        <v>66</v>
      </c>
      <c r="H30" s="9">
        <v>5</v>
      </c>
      <c r="I30" s="9">
        <v>20</v>
      </c>
      <c r="J30" s="9" t="s">
        <v>15</v>
      </c>
      <c r="K30" s="11" t="s">
        <v>16</v>
      </c>
      <c r="L30" t="str">
        <f t="shared" si="1"/>
        <v>10+ Years</v>
      </c>
      <c r="P30"/>
      <c r="Q30"/>
      <c r="T30"/>
      <c r="U30"/>
      <c r="Y30"/>
      <c r="Z30"/>
      <c r="AA30"/>
    </row>
    <row r="31" spans="2:27" x14ac:dyDescent="0.3">
      <c r="B3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HCP_AI2021MIDWEST66100</v>
      </c>
      <c r="C31" s="9" t="s">
        <v>8</v>
      </c>
      <c r="D31" s="10">
        <v>44328</v>
      </c>
      <c r="E31" s="10" t="str">
        <f t="shared" si="0"/>
        <v>2021</v>
      </c>
      <c r="F31" s="10">
        <v>44824</v>
      </c>
      <c r="G31" s="9">
        <v>66</v>
      </c>
      <c r="H31" s="9">
        <v>10</v>
      </c>
      <c r="I31" s="9">
        <v>0</v>
      </c>
      <c r="J31" s="9" t="s">
        <v>13</v>
      </c>
      <c r="K31" s="11" t="s">
        <v>10</v>
      </c>
      <c r="L31" t="str">
        <f t="shared" si="1"/>
        <v>10+ Years</v>
      </c>
      <c r="P31"/>
      <c r="Q31"/>
      <c r="T31"/>
      <c r="U31"/>
      <c r="Y31"/>
      <c r="Z31"/>
      <c r="AA31"/>
    </row>
    <row r="32" spans="2:27" x14ac:dyDescent="0.3">
      <c r="B3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HCP_AI2020SOUTHEAST66203</v>
      </c>
      <c r="C32" s="9" t="s">
        <v>8</v>
      </c>
      <c r="D32" s="10">
        <v>44123</v>
      </c>
      <c r="E32" s="10" t="str">
        <f t="shared" si="0"/>
        <v>2020</v>
      </c>
      <c r="F32" s="10">
        <v>44804</v>
      </c>
      <c r="G32" s="9">
        <v>66</v>
      </c>
      <c r="H32" s="9">
        <v>20</v>
      </c>
      <c r="I32" s="9">
        <v>3</v>
      </c>
      <c r="J32" s="9" t="s">
        <v>19</v>
      </c>
      <c r="K32" s="11" t="s">
        <v>10</v>
      </c>
      <c r="L32" t="str">
        <f t="shared" si="1"/>
        <v>0-1 Years</v>
      </c>
      <c r="P32"/>
      <c r="Q32"/>
      <c r="T32"/>
      <c r="U32"/>
      <c r="Y32"/>
      <c r="Z32"/>
      <c r="AA32"/>
    </row>
    <row r="33" spans="2:27" x14ac:dyDescent="0.3">
      <c r="B3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HCP_AI2020CENTRAL664425</v>
      </c>
      <c r="C33" s="9" t="s">
        <v>8</v>
      </c>
      <c r="D33" s="10">
        <v>44050</v>
      </c>
      <c r="E33" s="10" t="str">
        <f t="shared" si="0"/>
        <v>2020</v>
      </c>
      <c r="F33" s="10">
        <v>44489</v>
      </c>
      <c r="G33" s="9">
        <v>66</v>
      </c>
      <c r="H33" s="9">
        <v>44</v>
      </c>
      <c r="I33" s="9">
        <v>25</v>
      </c>
      <c r="J33" s="9" t="s">
        <v>14</v>
      </c>
      <c r="K33" s="11" t="s">
        <v>16</v>
      </c>
      <c r="L33" t="str">
        <f t="shared" si="1"/>
        <v>1-3 Years</v>
      </c>
      <c r="P33"/>
      <c r="Q33"/>
      <c r="T33"/>
      <c r="U33"/>
      <c r="Y33"/>
      <c r="Z33"/>
      <c r="AA33"/>
    </row>
    <row r="34" spans="2:27" x14ac:dyDescent="0.3">
      <c r="B3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HCP_PDA2021WEST65304</v>
      </c>
      <c r="C34" s="9" t="s">
        <v>17</v>
      </c>
      <c r="D34" s="10">
        <v>44410</v>
      </c>
      <c r="E34" s="10" t="str">
        <f t="shared" si="0"/>
        <v>2021</v>
      </c>
      <c r="F34" s="10">
        <v>44825</v>
      </c>
      <c r="G34" s="9">
        <v>65</v>
      </c>
      <c r="H34" s="9">
        <v>30</v>
      </c>
      <c r="I34" s="9">
        <v>4</v>
      </c>
      <c r="J34" s="9" t="s">
        <v>9</v>
      </c>
      <c r="K34" s="11" t="s">
        <v>10</v>
      </c>
      <c r="L34" t="str">
        <f t="shared" si="1"/>
        <v>10+ Years</v>
      </c>
      <c r="P34"/>
      <c r="Q34"/>
      <c r="T34"/>
      <c r="U34"/>
      <c r="Y34"/>
      <c r="Z34"/>
      <c r="AA34"/>
    </row>
    <row r="35" spans="2:27" x14ac:dyDescent="0.3">
      <c r="B3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HCP_AI2021WEST652316</v>
      </c>
      <c r="C35" s="9" t="s">
        <v>8</v>
      </c>
      <c r="D35" s="10">
        <v>44207</v>
      </c>
      <c r="E35" s="10" t="str">
        <f t="shared" si="0"/>
        <v>2021</v>
      </c>
      <c r="F35" s="10">
        <v>44727</v>
      </c>
      <c r="G35" s="9">
        <v>65</v>
      </c>
      <c r="H35" s="9">
        <v>23</v>
      </c>
      <c r="I35" s="9">
        <v>16</v>
      </c>
      <c r="J35" s="9" t="s">
        <v>9</v>
      </c>
      <c r="K35" s="11" t="s">
        <v>16</v>
      </c>
      <c r="L35" t="str">
        <f t="shared" si="1"/>
        <v>3-5 Years</v>
      </c>
      <c r="P35"/>
      <c r="Q35"/>
      <c r="T35"/>
      <c r="U35"/>
      <c r="Y35"/>
      <c r="Z35"/>
      <c r="AA35"/>
    </row>
    <row r="36" spans="2:27" x14ac:dyDescent="0.3">
      <c r="B3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HCP_AI2020WEST65290</v>
      </c>
      <c r="C36" s="9" t="s">
        <v>8</v>
      </c>
      <c r="D36" s="10">
        <v>44187</v>
      </c>
      <c r="E36" s="10" t="str">
        <f t="shared" si="0"/>
        <v>2020</v>
      </c>
      <c r="F36" s="10">
        <v>44825</v>
      </c>
      <c r="G36" s="9">
        <v>65</v>
      </c>
      <c r="H36" s="9">
        <v>29</v>
      </c>
      <c r="I36" s="9">
        <v>0</v>
      </c>
      <c r="J36" s="9" t="s">
        <v>9</v>
      </c>
      <c r="K36" s="11" t="s">
        <v>10</v>
      </c>
      <c r="L36" t="str">
        <f t="shared" si="1"/>
        <v>10+ Years</v>
      </c>
      <c r="P36"/>
      <c r="Q36"/>
      <c r="T36"/>
      <c r="U36"/>
      <c r="Y36"/>
      <c r="Z36"/>
      <c r="AA36"/>
    </row>
    <row r="37" spans="2:27" x14ac:dyDescent="0.3">
      <c r="B3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HCP_AI2021NORTHEAST64629</v>
      </c>
      <c r="C37" s="9" t="s">
        <v>8</v>
      </c>
      <c r="D37" s="10">
        <v>44503</v>
      </c>
      <c r="E37" s="10" t="str">
        <f t="shared" si="0"/>
        <v>2021</v>
      </c>
      <c r="F37" s="10">
        <v>44503</v>
      </c>
      <c r="G37" s="9">
        <v>64</v>
      </c>
      <c r="H37" s="9">
        <v>6</v>
      </c>
      <c r="I37" s="9">
        <v>29</v>
      </c>
      <c r="J37" s="9" t="s">
        <v>15</v>
      </c>
      <c r="K37" s="11" t="s">
        <v>16</v>
      </c>
      <c r="L37" t="str">
        <f t="shared" si="1"/>
        <v>0-1 Years</v>
      </c>
      <c r="P37"/>
      <c r="Q37"/>
      <c r="T37"/>
      <c r="U37"/>
      <c r="Y37"/>
      <c r="Z37"/>
      <c r="AA37"/>
    </row>
    <row r="38" spans="2:27" x14ac:dyDescent="0.3">
      <c r="B3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HCP_AI2021CENTRAL645018</v>
      </c>
      <c r="C38" s="9" t="s">
        <v>8</v>
      </c>
      <c r="D38" s="10">
        <v>44452</v>
      </c>
      <c r="E38" s="10" t="str">
        <f t="shared" si="0"/>
        <v>2021</v>
      </c>
      <c r="F38" s="10">
        <v>44825</v>
      </c>
      <c r="G38" s="9">
        <v>64</v>
      </c>
      <c r="H38" s="9">
        <v>50</v>
      </c>
      <c r="I38" s="9">
        <v>18</v>
      </c>
      <c r="J38" s="9" t="s">
        <v>14</v>
      </c>
      <c r="K38" s="11" t="s">
        <v>10</v>
      </c>
      <c r="L38" t="str">
        <f t="shared" si="1"/>
        <v>10+ Years</v>
      </c>
      <c r="P38"/>
      <c r="Q38"/>
      <c r="T38"/>
      <c r="U38"/>
      <c r="Y38"/>
      <c r="Z38"/>
      <c r="AA38"/>
    </row>
    <row r="39" spans="2:27" x14ac:dyDescent="0.3">
      <c r="B3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HCP_AI2021MIDWEST64812</v>
      </c>
      <c r="C39" s="9" t="s">
        <v>8</v>
      </c>
      <c r="D39" s="10">
        <v>44419</v>
      </c>
      <c r="E39" s="10" t="str">
        <f t="shared" si="0"/>
        <v>2021</v>
      </c>
      <c r="F39" s="10">
        <v>44748</v>
      </c>
      <c r="G39" s="9">
        <v>64</v>
      </c>
      <c r="H39" s="9">
        <v>8</v>
      </c>
      <c r="I39" s="9">
        <v>12</v>
      </c>
      <c r="J39" s="9" t="s">
        <v>13</v>
      </c>
      <c r="K39" s="11" t="s">
        <v>10</v>
      </c>
      <c r="L39" t="str">
        <f t="shared" si="1"/>
        <v>10+ Years</v>
      </c>
      <c r="P39"/>
      <c r="Q39"/>
      <c r="T39"/>
      <c r="U39"/>
      <c r="Y39"/>
      <c r="Z39"/>
      <c r="AA39"/>
    </row>
    <row r="40" spans="2:27" x14ac:dyDescent="0.3">
      <c r="B4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HCP_AI2021WEST644914</v>
      </c>
      <c r="C40" s="9" t="s">
        <v>8</v>
      </c>
      <c r="D40" s="10">
        <v>44257</v>
      </c>
      <c r="E40" s="10" t="str">
        <f t="shared" si="0"/>
        <v>2021</v>
      </c>
      <c r="F40" s="10">
        <v>44818</v>
      </c>
      <c r="G40" s="9">
        <v>64</v>
      </c>
      <c r="H40" s="9">
        <v>49</v>
      </c>
      <c r="I40" s="9">
        <v>14</v>
      </c>
      <c r="J40" s="9" t="s">
        <v>9</v>
      </c>
      <c r="K40" s="11" t="s">
        <v>10</v>
      </c>
      <c r="L40" t="str">
        <f t="shared" si="1"/>
        <v>10+ Years</v>
      </c>
      <c r="P40"/>
      <c r="Q40"/>
      <c r="T40"/>
      <c r="U40"/>
      <c r="Y40"/>
      <c r="Z40"/>
      <c r="AA40"/>
    </row>
    <row r="41" spans="2:27" x14ac:dyDescent="0.3">
      <c r="B4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HCP_AI2020NORTHEAST641019</v>
      </c>
      <c r="C41" s="9" t="s">
        <v>8</v>
      </c>
      <c r="D41" s="10">
        <v>44068</v>
      </c>
      <c r="E41" s="10" t="str">
        <f t="shared" si="0"/>
        <v>2020</v>
      </c>
      <c r="F41" s="10">
        <v>44740</v>
      </c>
      <c r="G41" s="9">
        <v>64</v>
      </c>
      <c r="H41" s="9">
        <v>10</v>
      </c>
      <c r="I41" s="9">
        <v>19</v>
      </c>
      <c r="J41" s="9" t="s">
        <v>15</v>
      </c>
      <c r="K41" s="11" t="s">
        <v>10</v>
      </c>
      <c r="L41" t="str">
        <f t="shared" si="1"/>
        <v>10+ Years</v>
      </c>
      <c r="P41"/>
      <c r="Q41"/>
      <c r="T41"/>
      <c r="U41"/>
      <c r="Y41"/>
      <c r="Z41"/>
      <c r="AA41"/>
    </row>
    <row r="42" spans="2:27" x14ac:dyDescent="0.3">
      <c r="B42" s="8" t="str">
        <f>"HCP_"&amp;Table1[[#This Row],[Specialty]]&amp;Table1[[#This Row],[Rx_Start_Year]]&amp;Table1[[#This Row],[Area Name]]&amp;Table1[[#This Row],[Enrollments]]&amp;Table1[[#This Row],[NPS]]&amp;Table1[[#This Row],[Discontinuations]]</f>
        <v>HCP_IG2020MIDWEST641025</v>
      </c>
      <c r="C42" s="9" t="s">
        <v>24</v>
      </c>
      <c r="D42" s="10">
        <v>44011</v>
      </c>
      <c r="E42" s="10" t="str">
        <f t="shared" si="0"/>
        <v>2020</v>
      </c>
      <c r="F42" s="10">
        <v>44816</v>
      </c>
      <c r="G42" s="9">
        <v>64</v>
      </c>
      <c r="H42" s="9">
        <v>10</v>
      </c>
      <c r="I42" s="9">
        <v>25</v>
      </c>
      <c r="J42" s="9" t="s">
        <v>13</v>
      </c>
      <c r="K42" s="11" t="s">
        <v>10</v>
      </c>
      <c r="L42" t="str">
        <f t="shared" si="1"/>
        <v>10+ Years</v>
      </c>
      <c r="P42"/>
      <c r="Q42"/>
      <c r="T42"/>
      <c r="U42"/>
      <c r="Y42"/>
      <c r="Z42"/>
      <c r="AA42"/>
    </row>
    <row r="43" spans="2:27" x14ac:dyDescent="0.3">
      <c r="B4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HCP_AI2022WEST632129</v>
      </c>
      <c r="C43" s="9" t="s">
        <v>8</v>
      </c>
      <c r="D43" s="10">
        <v>44602</v>
      </c>
      <c r="E43" s="10" t="str">
        <f t="shared" si="0"/>
        <v>2022</v>
      </c>
      <c r="F43" s="10">
        <v>44811</v>
      </c>
      <c r="G43" s="9">
        <v>63</v>
      </c>
      <c r="H43" s="9">
        <v>21</v>
      </c>
      <c r="I43" s="9">
        <v>29</v>
      </c>
      <c r="J43" s="9" t="s">
        <v>9</v>
      </c>
      <c r="K43" s="11" t="s">
        <v>10</v>
      </c>
      <c r="L43" t="str">
        <f t="shared" si="1"/>
        <v>10+ Years</v>
      </c>
      <c r="P43"/>
      <c r="Q43"/>
      <c r="T43"/>
      <c r="U43"/>
      <c r="Y43"/>
      <c r="Z43"/>
      <c r="AA43"/>
    </row>
    <row r="44" spans="2:27" x14ac:dyDescent="0.3">
      <c r="B44" s="8" t="str">
        <f>"HCP_"&amp;Table1[[#This Row],[Specialty]]&amp;Table1[[#This Row],[Rx_Start_Year]]&amp;Table1[[#This Row],[Area Name]]&amp;Table1[[#This Row],[Enrollments]]&amp;Table1[[#This Row],[NPS]]&amp;Table1[[#This Row],[Discontinuations]]</f>
        <v>HCP_IM2020WEST633315</v>
      </c>
      <c r="C44" s="9" t="s">
        <v>27</v>
      </c>
      <c r="D44" s="10">
        <v>44185</v>
      </c>
      <c r="E44" s="10" t="str">
        <f t="shared" si="0"/>
        <v>2020</v>
      </c>
      <c r="F44" s="10">
        <v>44585</v>
      </c>
      <c r="G44" s="9">
        <v>63</v>
      </c>
      <c r="H44" s="9">
        <v>33</v>
      </c>
      <c r="I44" s="9">
        <v>15</v>
      </c>
      <c r="J44" s="9" t="s">
        <v>9</v>
      </c>
      <c r="K44" s="11" t="s">
        <v>16</v>
      </c>
      <c r="L44" t="str">
        <f t="shared" si="1"/>
        <v>10+ Years</v>
      </c>
      <c r="P44"/>
      <c r="Q44"/>
      <c r="T44"/>
      <c r="U44"/>
      <c r="Y44"/>
      <c r="Z44"/>
      <c r="AA44"/>
    </row>
    <row r="45" spans="2:27" x14ac:dyDescent="0.3">
      <c r="B4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HCP_AI2020CENTRAL632624</v>
      </c>
      <c r="C45" s="9" t="s">
        <v>8</v>
      </c>
      <c r="D45" s="10">
        <v>44110</v>
      </c>
      <c r="E45" s="10" t="str">
        <f t="shared" si="0"/>
        <v>2020</v>
      </c>
      <c r="F45" s="10">
        <v>44825</v>
      </c>
      <c r="G45" s="9">
        <v>63</v>
      </c>
      <c r="H45" s="9">
        <v>26</v>
      </c>
      <c r="I45" s="9">
        <v>24</v>
      </c>
      <c r="J45" s="9" t="s">
        <v>14</v>
      </c>
      <c r="K45" s="11" t="s">
        <v>10</v>
      </c>
      <c r="L45" t="str">
        <f t="shared" si="1"/>
        <v>10+ Years</v>
      </c>
      <c r="P45"/>
      <c r="Q45"/>
      <c r="T45"/>
      <c r="U45"/>
      <c r="Y45"/>
      <c r="Z45"/>
      <c r="AA45"/>
    </row>
    <row r="46" spans="2:27" x14ac:dyDescent="0.3">
      <c r="B46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HCP_A2021NORTHEAST62364</v>
      </c>
      <c r="C46" s="9" t="s">
        <v>12</v>
      </c>
      <c r="D46" s="10">
        <v>44300</v>
      </c>
      <c r="E46" s="10" t="str">
        <f t="shared" si="0"/>
        <v>2021</v>
      </c>
      <c r="F46" s="10">
        <v>44328</v>
      </c>
      <c r="G46" s="9">
        <v>62</v>
      </c>
      <c r="H46" s="9">
        <v>36</v>
      </c>
      <c r="I46" s="9">
        <v>4</v>
      </c>
      <c r="J46" s="9" t="s">
        <v>15</v>
      </c>
      <c r="K46" s="11" t="s">
        <v>16</v>
      </c>
      <c r="L46" t="str">
        <f t="shared" si="1"/>
        <v>10+ Years</v>
      </c>
      <c r="P46"/>
      <c r="Q46"/>
      <c r="T46"/>
      <c r="U46"/>
      <c r="Y46"/>
      <c r="Z46"/>
      <c r="AA46"/>
    </row>
    <row r="47" spans="2:27" x14ac:dyDescent="0.3">
      <c r="B4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HCP_AI2021MIDWEST62919</v>
      </c>
      <c r="C47" s="9" t="s">
        <v>8</v>
      </c>
      <c r="D47" s="10">
        <v>44290</v>
      </c>
      <c r="E47" s="10" t="str">
        <f t="shared" si="0"/>
        <v>2021</v>
      </c>
      <c r="F47" s="10">
        <v>44803</v>
      </c>
      <c r="G47" s="9">
        <v>62</v>
      </c>
      <c r="H47" s="9">
        <v>9</v>
      </c>
      <c r="I47" s="9">
        <v>19</v>
      </c>
      <c r="J47" s="9" t="s">
        <v>13</v>
      </c>
      <c r="K47" s="11" t="s">
        <v>10</v>
      </c>
      <c r="L47" t="str">
        <f t="shared" si="1"/>
        <v>3-5 Years</v>
      </c>
      <c r="P47"/>
      <c r="Q47"/>
      <c r="T47"/>
      <c r="U47"/>
      <c r="Y47"/>
      <c r="Z47"/>
      <c r="AA47"/>
    </row>
    <row r="48" spans="2:27" x14ac:dyDescent="0.3">
      <c r="B4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HCP_AI2020NORTHEAST624221</v>
      </c>
      <c r="C48" s="9" t="s">
        <v>8</v>
      </c>
      <c r="D48" s="10">
        <v>44108</v>
      </c>
      <c r="E48" s="10" t="str">
        <f t="shared" si="0"/>
        <v>2020</v>
      </c>
      <c r="F48" s="10">
        <v>44292</v>
      </c>
      <c r="G48" s="9">
        <v>62</v>
      </c>
      <c r="H48" s="9">
        <v>42</v>
      </c>
      <c r="I48" s="9">
        <v>21</v>
      </c>
      <c r="J48" s="9" t="s">
        <v>15</v>
      </c>
      <c r="K48" s="11" t="s">
        <v>16</v>
      </c>
      <c r="L48" t="str">
        <f t="shared" si="1"/>
        <v>10+ Years</v>
      </c>
      <c r="P48"/>
      <c r="Q48"/>
      <c r="T48"/>
      <c r="U48"/>
      <c r="Y48"/>
      <c r="Z48"/>
      <c r="AA48"/>
    </row>
    <row r="49" spans="2:27" x14ac:dyDescent="0.3">
      <c r="B4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HCP_PDA2021NORTHEAST623111</v>
      </c>
      <c r="C49" s="9" t="s">
        <v>17</v>
      </c>
      <c r="D49" s="10">
        <v>44242</v>
      </c>
      <c r="E49" s="10" t="str">
        <f t="shared" si="0"/>
        <v>2021</v>
      </c>
      <c r="F49" s="10">
        <v>44826</v>
      </c>
      <c r="G49" s="9">
        <v>62</v>
      </c>
      <c r="H49" s="9">
        <v>31</v>
      </c>
      <c r="I49" s="9">
        <v>11</v>
      </c>
      <c r="J49" s="9" t="s">
        <v>15</v>
      </c>
      <c r="K49" s="11" t="s">
        <v>10</v>
      </c>
      <c r="L49" t="str">
        <f t="shared" si="1"/>
        <v>10+ Years</v>
      </c>
      <c r="P49"/>
      <c r="Q49"/>
      <c r="T49"/>
      <c r="U49"/>
      <c r="Y49"/>
      <c r="Z49"/>
      <c r="AA49"/>
    </row>
    <row r="50" spans="2:27" x14ac:dyDescent="0.3">
      <c r="B5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HCP_AI2020CENTRAL612913</v>
      </c>
      <c r="C50" s="9" t="s">
        <v>8</v>
      </c>
      <c r="D50" s="10">
        <v>44174</v>
      </c>
      <c r="E50" s="10" t="str">
        <f t="shared" si="0"/>
        <v>2020</v>
      </c>
      <c r="F50" s="10">
        <v>44293</v>
      </c>
      <c r="G50" s="9">
        <v>61</v>
      </c>
      <c r="H50" s="9">
        <v>29</v>
      </c>
      <c r="I50" s="9">
        <v>13</v>
      </c>
      <c r="J50" s="9" t="s">
        <v>14</v>
      </c>
      <c r="K50" s="11" t="s">
        <v>16</v>
      </c>
      <c r="L50" t="str">
        <f t="shared" si="1"/>
        <v>10+ Years</v>
      </c>
      <c r="P50"/>
      <c r="Q50"/>
      <c r="T50"/>
      <c r="U50"/>
      <c r="Y50"/>
      <c r="Z50"/>
      <c r="AA50"/>
    </row>
    <row r="51" spans="2:27" x14ac:dyDescent="0.3">
      <c r="B5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HCP_AI2020SOUTHEAST611314</v>
      </c>
      <c r="C51" s="9" t="s">
        <v>8</v>
      </c>
      <c r="D51" s="10">
        <v>44109</v>
      </c>
      <c r="E51" s="10" t="str">
        <f t="shared" si="0"/>
        <v>2020</v>
      </c>
      <c r="F51" s="10">
        <v>44559</v>
      </c>
      <c r="G51" s="9">
        <v>61</v>
      </c>
      <c r="H51" s="9">
        <v>13</v>
      </c>
      <c r="I51" s="9">
        <v>14</v>
      </c>
      <c r="J51" s="9" t="s">
        <v>19</v>
      </c>
      <c r="K51" s="11" t="s">
        <v>16</v>
      </c>
      <c r="L51" t="str">
        <f t="shared" si="1"/>
        <v>10+ Years</v>
      </c>
      <c r="P51"/>
      <c r="Q51"/>
      <c r="T51"/>
      <c r="U51"/>
      <c r="Y51"/>
      <c r="Z51"/>
      <c r="AA51"/>
    </row>
    <row r="52" spans="2:27" x14ac:dyDescent="0.3">
      <c r="B5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HCP_AI2020MIDWEST6137</v>
      </c>
      <c r="C52" s="9" t="s">
        <v>8</v>
      </c>
      <c r="D52" s="10">
        <v>43983</v>
      </c>
      <c r="E52" s="10" t="str">
        <f t="shared" si="0"/>
        <v>2020</v>
      </c>
      <c r="F52" s="10">
        <v>44824</v>
      </c>
      <c r="G52" s="9">
        <v>61</v>
      </c>
      <c r="H52" s="9">
        <v>3</v>
      </c>
      <c r="I52" s="9">
        <v>7</v>
      </c>
      <c r="J52" s="9" t="s">
        <v>13</v>
      </c>
      <c r="K52" s="11" t="s">
        <v>10</v>
      </c>
      <c r="L52" t="str">
        <f t="shared" si="1"/>
        <v>10+ Years</v>
      </c>
      <c r="P52"/>
      <c r="Q52"/>
      <c r="T52"/>
      <c r="U52"/>
      <c r="Y52"/>
      <c r="Z52"/>
      <c r="AA52"/>
    </row>
    <row r="53" spans="2:27" x14ac:dyDescent="0.3">
      <c r="B53" s="8" t="str">
        <f>"HCP_"&amp;Table1[[#This Row],[Specialty]]&amp;Table1[[#This Row],[Rx_Start_Year]]&amp;Table1[[#This Row],[Area Name]]&amp;Table1[[#This Row],[Enrollments]]&amp;Table1[[#This Row],[NPS]]&amp;Table1[[#This Row],[Discontinuations]]</f>
        <v>HCP_IG2021WEST604723</v>
      </c>
      <c r="C53" s="9" t="s">
        <v>24</v>
      </c>
      <c r="D53" s="10">
        <v>44424</v>
      </c>
      <c r="E53" s="10" t="str">
        <f t="shared" si="0"/>
        <v>2021</v>
      </c>
      <c r="F53" s="10">
        <v>44530</v>
      </c>
      <c r="G53" s="9">
        <v>60</v>
      </c>
      <c r="H53" s="9">
        <v>47</v>
      </c>
      <c r="I53" s="9">
        <v>23</v>
      </c>
      <c r="J53" s="9" t="s">
        <v>9</v>
      </c>
      <c r="K53" s="11" t="s">
        <v>16</v>
      </c>
      <c r="L53" t="str">
        <f t="shared" si="1"/>
        <v>5-10 Years</v>
      </c>
      <c r="P53"/>
      <c r="Q53"/>
      <c r="T53"/>
      <c r="U53"/>
      <c r="Y53"/>
      <c r="Z53"/>
      <c r="AA53"/>
    </row>
    <row r="54" spans="2:27" x14ac:dyDescent="0.3">
      <c r="B5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HCP_PDA2021WEST604126</v>
      </c>
      <c r="C54" s="9" t="s">
        <v>17</v>
      </c>
      <c r="D54" s="10">
        <v>44319</v>
      </c>
      <c r="E54" s="10" t="str">
        <f t="shared" si="0"/>
        <v>2021</v>
      </c>
      <c r="F54" s="10">
        <v>44602</v>
      </c>
      <c r="G54" s="9">
        <v>60</v>
      </c>
      <c r="H54" s="9">
        <v>41</v>
      </c>
      <c r="I54" s="9">
        <v>26</v>
      </c>
      <c r="J54" s="9" t="s">
        <v>9</v>
      </c>
      <c r="K54" s="11" t="s">
        <v>16</v>
      </c>
      <c r="L54" t="str">
        <f t="shared" si="1"/>
        <v>10+ Years</v>
      </c>
      <c r="P54"/>
      <c r="Q54"/>
      <c r="T54"/>
      <c r="U54"/>
      <c r="Y54"/>
      <c r="Z54"/>
      <c r="AA54"/>
    </row>
    <row r="55" spans="2:27" x14ac:dyDescent="0.3">
      <c r="B5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HCP_AI2020SOUTHEAST601120</v>
      </c>
      <c r="C55" s="9" t="s">
        <v>8</v>
      </c>
      <c r="D55" s="10">
        <v>44011</v>
      </c>
      <c r="E55" s="10" t="str">
        <f t="shared" si="0"/>
        <v>2020</v>
      </c>
      <c r="F55" s="10">
        <v>44826</v>
      </c>
      <c r="G55" s="9">
        <v>60</v>
      </c>
      <c r="H55" s="9">
        <v>11</v>
      </c>
      <c r="I55" s="9">
        <v>20</v>
      </c>
      <c r="J55" s="9" t="s">
        <v>19</v>
      </c>
      <c r="K55" s="11" t="s">
        <v>10</v>
      </c>
      <c r="L55" t="str">
        <f t="shared" si="1"/>
        <v>10+ Years</v>
      </c>
      <c r="P55"/>
      <c r="Q55"/>
      <c r="T55"/>
      <c r="U55"/>
      <c r="Y55"/>
      <c r="Z55"/>
      <c r="AA55"/>
    </row>
    <row r="56" spans="2:27" x14ac:dyDescent="0.3">
      <c r="B56" s="8" t="str">
        <f>"HCP_"&amp;Table1[[#This Row],[Specialty]]&amp;Table1[[#This Row],[Rx_Start_Year]]&amp;Table1[[#This Row],[Area Name]]&amp;Table1[[#This Row],[Enrollments]]&amp;Table1[[#This Row],[NPS]]&amp;Table1[[#This Row],[Discontinuations]]</f>
        <v>HCP_OTO2021CENTRAL59233</v>
      </c>
      <c r="C56" s="9" t="s">
        <v>21</v>
      </c>
      <c r="D56" s="10">
        <v>44503</v>
      </c>
      <c r="E56" s="10" t="str">
        <f t="shared" si="0"/>
        <v>2021</v>
      </c>
      <c r="F56" s="10">
        <v>44669</v>
      </c>
      <c r="G56" s="9">
        <v>59</v>
      </c>
      <c r="H56" s="9">
        <v>23</v>
      </c>
      <c r="I56" s="9">
        <v>3</v>
      </c>
      <c r="J56" s="9" t="s">
        <v>14</v>
      </c>
      <c r="K56" s="11" t="s">
        <v>16</v>
      </c>
      <c r="L56" t="str">
        <f t="shared" si="1"/>
        <v>10+ Years</v>
      </c>
      <c r="P56"/>
      <c r="Q56"/>
      <c r="T56"/>
      <c r="U56"/>
      <c r="Y56"/>
      <c r="Z56"/>
      <c r="AA56"/>
    </row>
    <row r="57" spans="2:27" x14ac:dyDescent="0.3">
      <c r="B5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HCP_AI2021WEST5967</v>
      </c>
      <c r="C57" s="9" t="s">
        <v>8</v>
      </c>
      <c r="D57" s="10">
        <v>44382</v>
      </c>
      <c r="E57" s="10" t="str">
        <f t="shared" si="0"/>
        <v>2021</v>
      </c>
      <c r="F57" s="10">
        <v>44824</v>
      </c>
      <c r="G57" s="9">
        <v>59</v>
      </c>
      <c r="H57" s="9">
        <v>6</v>
      </c>
      <c r="I57" s="9">
        <v>7</v>
      </c>
      <c r="J57" s="9" t="s">
        <v>9</v>
      </c>
      <c r="K57" s="11" t="s">
        <v>10</v>
      </c>
      <c r="L57" t="str">
        <f t="shared" si="1"/>
        <v>1-3 Years</v>
      </c>
      <c r="P57"/>
      <c r="Q57"/>
      <c r="T57"/>
      <c r="U57"/>
      <c r="Y57"/>
      <c r="Z57"/>
      <c r="AA57"/>
    </row>
    <row r="58" spans="2:27" x14ac:dyDescent="0.3">
      <c r="B5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HCP_AI2020WEST59816</v>
      </c>
      <c r="C58" s="9" t="s">
        <v>8</v>
      </c>
      <c r="D58" s="10">
        <v>44027</v>
      </c>
      <c r="E58" s="10" t="str">
        <f t="shared" si="0"/>
        <v>2020</v>
      </c>
      <c r="F58" s="10">
        <v>44820</v>
      </c>
      <c r="G58" s="9">
        <v>59</v>
      </c>
      <c r="H58" s="9">
        <v>8</v>
      </c>
      <c r="I58" s="9">
        <v>16</v>
      </c>
      <c r="J58" s="9" t="s">
        <v>9</v>
      </c>
      <c r="K58" s="11" t="s">
        <v>10</v>
      </c>
      <c r="L58" t="str">
        <f t="shared" si="1"/>
        <v>5-10 Years</v>
      </c>
      <c r="P58"/>
      <c r="Q58"/>
      <c r="T58"/>
      <c r="U58"/>
      <c r="Y58"/>
      <c r="Z58"/>
      <c r="AA58"/>
    </row>
    <row r="59" spans="2:27" x14ac:dyDescent="0.3">
      <c r="B5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HCP_AI2020SOUTHEAST592010</v>
      </c>
      <c r="C59" s="9" t="s">
        <v>8</v>
      </c>
      <c r="D59" s="10">
        <v>44096</v>
      </c>
      <c r="E59" s="10" t="str">
        <f t="shared" si="0"/>
        <v>2020</v>
      </c>
      <c r="F59" s="10">
        <v>44454</v>
      </c>
      <c r="G59" s="9">
        <v>59</v>
      </c>
      <c r="H59" s="9">
        <v>20</v>
      </c>
      <c r="I59" s="9">
        <v>10</v>
      </c>
      <c r="J59" s="9" t="s">
        <v>19</v>
      </c>
      <c r="K59" s="11" t="s">
        <v>16</v>
      </c>
      <c r="L59" t="str">
        <f t="shared" si="1"/>
        <v>10+ Years</v>
      </c>
      <c r="P59"/>
      <c r="Q59"/>
      <c r="T59"/>
      <c r="U59"/>
      <c r="Y59"/>
      <c r="Z59"/>
      <c r="AA59"/>
    </row>
    <row r="60" spans="2:27" x14ac:dyDescent="0.3">
      <c r="B6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HCP_AI2020SOUTHEAST594623</v>
      </c>
      <c r="C60" s="9" t="s">
        <v>8</v>
      </c>
      <c r="D60" s="10">
        <v>44062</v>
      </c>
      <c r="E60" s="10" t="str">
        <f t="shared" si="0"/>
        <v>2020</v>
      </c>
      <c r="F60" s="10">
        <v>44820</v>
      </c>
      <c r="G60" s="9">
        <v>59</v>
      </c>
      <c r="H60" s="9">
        <v>46</v>
      </c>
      <c r="I60" s="9">
        <v>23</v>
      </c>
      <c r="J60" s="9" t="s">
        <v>19</v>
      </c>
      <c r="K60" s="11" t="s">
        <v>10</v>
      </c>
      <c r="L60" t="str">
        <f t="shared" si="1"/>
        <v>5-10 Years</v>
      </c>
      <c r="P60"/>
      <c r="Q60"/>
      <c r="T60"/>
      <c r="U60"/>
      <c r="Y60"/>
      <c r="Z60"/>
      <c r="AA60"/>
    </row>
    <row r="61" spans="2:27" x14ac:dyDescent="0.3">
      <c r="B6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HCP_AI2020CENTRAL59274</v>
      </c>
      <c r="C61" s="9" t="s">
        <v>8</v>
      </c>
      <c r="D61" s="10">
        <v>43969</v>
      </c>
      <c r="E61" s="10" t="str">
        <f t="shared" si="0"/>
        <v>2020</v>
      </c>
      <c r="F61" s="10">
        <v>44818</v>
      </c>
      <c r="G61" s="9">
        <v>59</v>
      </c>
      <c r="H61" s="9">
        <v>27</v>
      </c>
      <c r="I61" s="9">
        <v>4</v>
      </c>
      <c r="J61" s="9" t="s">
        <v>14</v>
      </c>
      <c r="K61" s="11" t="s">
        <v>10</v>
      </c>
      <c r="L61" t="str">
        <f t="shared" si="1"/>
        <v>10+ Years</v>
      </c>
      <c r="P61"/>
      <c r="Q61"/>
      <c r="T61"/>
      <c r="U61"/>
      <c r="Y61"/>
      <c r="Z61"/>
      <c r="AA61"/>
    </row>
    <row r="62" spans="2:27" x14ac:dyDescent="0.3">
      <c r="B6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HCP_AI2021MIDWEST58320</v>
      </c>
      <c r="C62" s="9" t="s">
        <v>8</v>
      </c>
      <c r="D62" s="10">
        <v>44459</v>
      </c>
      <c r="E62" s="10" t="str">
        <f t="shared" si="0"/>
        <v>2021</v>
      </c>
      <c r="F62" s="10">
        <v>44803</v>
      </c>
      <c r="G62" s="9">
        <v>58</v>
      </c>
      <c r="H62" s="9">
        <v>3</v>
      </c>
      <c r="I62" s="9">
        <v>20</v>
      </c>
      <c r="J62" s="9" t="s">
        <v>13</v>
      </c>
      <c r="K62" s="11" t="s">
        <v>10</v>
      </c>
      <c r="L62" t="str">
        <f t="shared" si="1"/>
        <v>3-5 Years</v>
      </c>
      <c r="P62"/>
      <c r="Q62"/>
      <c r="T62"/>
      <c r="U62"/>
      <c r="Y62"/>
      <c r="Z62"/>
      <c r="AA62"/>
    </row>
    <row r="63" spans="2:27" x14ac:dyDescent="0.3">
      <c r="B6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HCP_AI2021NORTHEAST582222</v>
      </c>
      <c r="C63" s="9" t="s">
        <v>8</v>
      </c>
      <c r="D63" s="10">
        <v>44459</v>
      </c>
      <c r="E63" s="10" t="str">
        <f t="shared" si="0"/>
        <v>2021</v>
      </c>
      <c r="F63" s="10">
        <v>44825</v>
      </c>
      <c r="G63" s="9">
        <v>58</v>
      </c>
      <c r="H63" s="9">
        <v>22</v>
      </c>
      <c r="I63" s="9">
        <v>22</v>
      </c>
      <c r="J63" s="9" t="s">
        <v>15</v>
      </c>
      <c r="K63" s="11" t="s">
        <v>10</v>
      </c>
      <c r="L63" t="str">
        <f t="shared" si="1"/>
        <v>10+ Years</v>
      </c>
      <c r="P63"/>
      <c r="Q63"/>
      <c r="T63"/>
      <c r="U63"/>
      <c r="Y63"/>
      <c r="Z63"/>
      <c r="AA63"/>
    </row>
    <row r="64" spans="2:27" x14ac:dyDescent="0.3">
      <c r="B64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HCP_A2021WEST58289</v>
      </c>
      <c r="C64" s="9" t="s">
        <v>12</v>
      </c>
      <c r="D64" s="10">
        <v>44440</v>
      </c>
      <c r="E64" s="10" t="str">
        <f t="shared" si="0"/>
        <v>2021</v>
      </c>
      <c r="F64" s="10">
        <v>44621</v>
      </c>
      <c r="G64" s="9">
        <v>58</v>
      </c>
      <c r="H64" s="9">
        <v>28</v>
      </c>
      <c r="I64" s="9">
        <v>9</v>
      </c>
      <c r="J64" s="9" t="s">
        <v>9</v>
      </c>
      <c r="K64" s="11" t="s">
        <v>16</v>
      </c>
      <c r="L64" t="str">
        <f t="shared" si="1"/>
        <v>10+ Years</v>
      </c>
      <c r="P64"/>
      <c r="Q64"/>
      <c r="T64"/>
      <c r="U64"/>
      <c r="Y64"/>
      <c r="Z64"/>
      <c r="AA64"/>
    </row>
    <row r="65" spans="2:27" x14ac:dyDescent="0.3">
      <c r="B6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HCP_AI2020SOUTHEAST58353</v>
      </c>
      <c r="C65" s="9" t="s">
        <v>8</v>
      </c>
      <c r="D65" s="10">
        <v>44193</v>
      </c>
      <c r="E65" s="10" t="str">
        <f t="shared" si="0"/>
        <v>2020</v>
      </c>
      <c r="F65" s="10">
        <v>44817</v>
      </c>
      <c r="G65" s="9">
        <v>58</v>
      </c>
      <c r="H65" s="9">
        <v>35</v>
      </c>
      <c r="I65" s="9">
        <v>3</v>
      </c>
      <c r="J65" s="9" t="s">
        <v>19</v>
      </c>
      <c r="K65" s="11" t="s">
        <v>10</v>
      </c>
      <c r="L65" t="str">
        <f t="shared" si="1"/>
        <v>5-10 Years</v>
      </c>
      <c r="P65"/>
      <c r="Q65"/>
      <c r="T65"/>
      <c r="U65"/>
      <c r="Y65"/>
      <c r="Z65"/>
      <c r="AA65"/>
    </row>
    <row r="66" spans="2:27" x14ac:dyDescent="0.3">
      <c r="B6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HCP_AI2020NORTHEAST581514</v>
      </c>
      <c r="C66" s="9" t="s">
        <v>8</v>
      </c>
      <c r="D66" s="10">
        <v>44182</v>
      </c>
      <c r="E66" s="10" t="str">
        <f t="shared" ref="E66:E129" si="2">TEXT(D66,"yyyy")</f>
        <v>2020</v>
      </c>
      <c r="F66" s="10">
        <v>44825</v>
      </c>
      <c r="G66" s="9">
        <v>58</v>
      </c>
      <c r="H66" s="9">
        <v>15</v>
      </c>
      <c r="I66" s="9">
        <v>14</v>
      </c>
      <c r="J66" s="9" t="s">
        <v>15</v>
      </c>
      <c r="K66" s="11" t="s">
        <v>10</v>
      </c>
      <c r="L66" t="str">
        <f t="shared" ref="L66:L129" si="3">IF(I65&lt;=1,"0-1 Years",
IF(I65&lt;=3,"1-3 Years",
IF(I65&lt;=5,"3-5 Years",
IF(I65&lt;=10,"5-10 Years",
"10+ Years"))))</f>
        <v>1-3 Years</v>
      </c>
      <c r="P66"/>
      <c r="Q66"/>
      <c r="T66"/>
      <c r="U66"/>
      <c r="Y66"/>
      <c r="Z66"/>
      <c r="AA66"/>
    </row>
    <row r="67" spans="2:27" x14ac:dyDescent="0.3">
      <c r="B6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HCP_AI2020NORTHEAST581614</v>
      </c>
      <c r="C67" s="9" t="s">
        <v>8</v>
      </c>
      <c r="D67" s="10">
        <v>44074</v>
      </c>
      <c r="E67" s="10" t="str">
        <f t="shared" si="2"/>
        <v>2020</v>
      </c>
      <c r="F67" s="10">
        <v>44826</v>
      </c>
      <c r="G67" s="9">
        <v>58</v>
      </c>
      <c r="H67" s="9">
        <v>16</v>
      </c>
      <c r="I67" s="9">
        <v>14</v>
      </c>
      <c r="J67" s="9" t="s">
        <v>15</v>
      </c>
      <c r="K67" s="11" t="s">
        <v>10</v>
      </c>
      <c r="L67" t="str">
        <f t="shared" si="3"/>
        <v>10+ Years</v>
      </c>
      <c r="P67"/>
      <c r="Q67"/>
      <c r="T67"/>
      <c r="U67"/>
      <c r="Y67"/>
      <c r="Z67"/>
      <c r="AA67"/>
    </row>
    <row r="68" spans="2:27" x14ac:dyDescent="0.3">
      <c r="B6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HCP_AI2020CENTRAL58127</v>
      </c>
      <c r="C68" s="9" t="s">
        <v>8</v>
      </c>
      <c r="D68" s="10">
        <v>44054</v>
      </c>
      <c r="E68" s="10" t="str">
        <f t="shared" si="2"/>
        <v>2020</v>
      </c>
      <c r="F68" s="10">
        <v>44511</v>
      </c>
      <c r="G68" s="9">
        <v>58</v>
      </c>
      <c r="H68" s="9">
        <v>12</v>
      </c>
      <c r="I68" s="9">
        <v>7</v>
      </c>
      <c r="J68" s="9" t="s">
        <v>14</v>
      </c>
      <c r="K68" s="11" t="s">
        <v>16</v>
      </c>
      <c r="L68" t="str">
        <f t="shared" si="3"/>
        <v>10+ Years</v>
      </c>
      <c r="P68"/>
      <c r="Q68"/>
      <c r="T68"/>
      <c r="U68"/>
      <c r="Y68"/>
      <c r="Z68"/>
      <c r="AA68"/>
    </row>
    <row r="69" spans="2:27" x14ac:dyDescent="0.3">
      <c r="B6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HCP_PDA2020NORTHEAST581714</v>
      </c>
      <c r="C69" s="9" t="s">
        <v>17</v>
      </c>
      <c r="D69" s="10">
        <v>44049</v>
      </c>
      <c r="E69" s="10" t="str">
        <f t="shared" si="2"/>
        <v>2020</v>
      </c>
      <c r="F69" s="10">
        <v>44824</v>
      </c>
      <c r="G69" s="9">
        <v>58</v>
      </c>
      <c r="H69" s="9">
        <v>17</v>
      </c>
      <c r="I69" s="9">
        <v>14</v>
      </c>
      <c r="J69" s="9" t="s">
        <v>15</v>
      </c>
      <c r="K69" s="11" t="s">
        <v>10</v>
      </c>
      <c r="L69" t="str">
        <f t="shared" si="3"/>
        <v>5-10 Years</v>
      </c>
      <c r="P69"/>
      <c r="Q69"/>
      <c r="T69"/>
      <c r="U69"/>
      <c r="Y69"/>
      <c r="Z69"/>
      <c r="AA69"/>
    </row>
    <row r="70" spans="2:27" x14ac:dyDescent="0.3">
      <c r="B7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HCP_AI2022WEST571528</v>
      </c>
      <c r="C70" s="9" t="s">
        <v>8</v>
      </c>
      <c r="D70" s="10">
        <v>44599</v>
      </c>
      <c r="E70" s="10" t="str">
        <f t="shared" si="2"/>
        <v>2022</v>
      </c>
      <c r="F70" s="10">
        <v>44824</v>
      </c>
      <c r="G70" s="9">
        <v>57</v>
      </c>
      <c r="H70" s="9">
        <v>15</v>
      </c>
      <c r="I70" s="9">
        <v>28</v>
      </c>
      <c r="J70" s="9" t="s">
        <v>9</v>
      </c>
      <c r="K70" s="11" t="s">
        <v>10</v>
      </c>
      <c r="L70" t="str">
        <f t="shared" si="3"/>
        <v>10+ Years</v>
      </c>
      <c r="P70"/>
      <c r="Q70"/>
      <c r="T70"/>
      <c r="U70"/>
      <c r="Y70"/>
      <c r="Z70"/>
      <c r="AA70"/>
    </row>
    <row r="71" spans="2:27" x14ac:dyDescent="0.3">
      <c r="B7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HCP_AI2020MIDWEST57459</v>
      </c>
      <c r="C71" s="9" t="s">
        <v>8</v>
      </c>
      <c r="D71" s="10">
        <v>44102</v>
      </c>
      <c r="E71" s="10" t="str">
        <f t="shared" si="2"/>
        <v>2020</v>
      </c>
      <c r="F71" s="10">
        <v>44826</v>
      </c>
      <c r="G71" s="9">
        <v>57</v>
      </c>
      <c r="H71" s="9">
        <v>45</v>
      </c>
      <c r="I71" s="9">
        <v>9</v>
      </c>
      <c r="J71" s="9" t="s">
        <v>13</v>
      </c>
      <c r="K71" s="11" t="s">
        <v>10</v>
      </c>
      <c r="L71" t="str">
        <f t="shared" si="3"/>
        <v>10+ Years</v>
      </c>
      <c r="P71"/>
      <c r="Q71"/>
      <c r="T71"/>
      <c r="U71"/>
      <c r="Y71"/>
      <c r="Z71"/>
      <c r="AA71"/>
    </row>
    <row r="72" spans="2:27" x14ac:dyDescent="0.3">
      <c r="B7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HCP_AI2021MIDWEST5715</v>
      </c>
      <c r="C72" s="9" t="s">
        <v>8</v>
      </c>
      <c r="D72" s="10">
        <v>44291</v>
      </c>
      <c r="E72" s="10" t="str">
        <f t="shared" si="2"/>
        <v>2021</v>
      </c>
      <c r="F72" s="10">
        <v>44725</v>
      </c>
      <c r="G72" s="9">
        <v>57</v>
      </c>
      <c r="H72" s="9">
        <v>1</v>
      </c>
      <c r="I72" s="9">
        <v>5</v>
      </c>
      <c r="J72" s="9" t="s">
        <v>13</v>
      </c>
      <c r="K72" s="11" t="s">
        <v>16</v>
      </c>
      <c r="L72" t="str">
        <f t="shared" si="3"/>
        <v>5-10 Years</v>
      </c>
      <c r="P72"/>
      <c r="Q72"/>
      <c r="T72"/>
      <c r="U72"/>
      <c r="Y72"/>
      <c r="Z72"/>
      <c r="AA72"/>
    </row>
    <row r="73" spans="2:27" x14ac:dyDescent="0.3">
      <c r="B7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HCP_AI2021CENTRAL574023</v>
      </c>
      <c r="C73" s="9" t="s">
        <v>8</v>
      </c>
      <c r="D73" s="10">
        <v>44216</v>
      </c>
      <c r="E73" s="10" t="str">
        <f t="shared" si="2"/>
        <v>2021</v>
      </c>
      <c r="F73" s="10">
        <v>44812</v>
      </c>
      <c r="G73" s="9">
        <v>57</v>
      </c>
      <c r="H73" s="9">
        <v>40</v>
      </c>
      <c r="I73" s="9">
        <v>23</v>
      </c>
      <c r="J73" s="9" t="s">
        <v>14</v>
      </c>
      <c r="K73" s="11" t="s">
        <v>10</v>
      </c>
      <c r="L73" t="str">
        <f t="shared" si="3"/>
        <v>3-5 Years</v>
      </c>
      <c r="P73"/>
      <c r="Q73"/>
      <c r="T73"/>
      <c r="U73"/>
      <c r="Y73"/>
      <c r="Z73"/>
      <c r="AA73"/>
    </row>
    <row r="74" spans="2:27" x14ac:dyDescent="0.3">
      <c r="B7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HCP_AI2020WEST57813</v>
      </c>
      <c r="C74" s="9" t="s">
        <v>8</v>
      </c>
      <c r="D74" s="10">
        <v>44193</v>
      </c>
      <c r="E74" s="10" t="str">
        <f t="shared" si="2"/>
        <v>2020</v>
      </c>
      <c r="F74" s="10">
        <v>44819</v>
      </c>
      <c r="G74" s="9">
        <v>57</v>
      </c>
      <c r="H74" s="9">
        <v>8</v>
      </c>
      <c r="I74" s="9">
        <v>13</v>
      </c>
      <c r="J74" s="9" t="s">
        <v>9</v>
      </c>
      <c r="K74" s="11" t="s">
        <v>10</v>
      </c>
      <c r="L74" t="str">
        <f t="shared" si="3"/>
        <v>10+ Years</v>
      </c>
      <c r="P74"/>
      <c r="Q74"/>
      <c r="T74"/>
      <c r="U74"/>
      <c r="Y74"/>
      <c r="Z74"/>
      <c r="AA74"/>
    </row>
    <row r="75" spans="2:27" x14ac:dyDescent="0.3">
      <c r="B7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HCP_PDA2020MIDWEST574011</v>
      </c>
      <c r="C75" s="9" t="s">
        <v>17</v>
      </c>
      <c r="D75" s="10">
        <v>44039</v>
      </c>
      <c r="E75" s="10" t="str">
        <f t="shared" si="2"/>
        <v>2020</v>
      </c>
      <c r="F75" s="10">
        <v>44818</v>
      </c>
      <c r="G75" s="9">
        <v>57</v>
      </c>
      <c r="H75" s="9">
        <v>40</v>
      </c>
      <c r="I75" s="9">
        <v>11</v>
      </c>
      <c r="J75" s="9" t="s">
        <v>13</v>
      </c>
      <c r="K75" s="11" t="s">
        <v>10</v>
      </c>
      <c r="L75" t="str">
        <f t="shared" si="3"/>
        <v>10+ Years</v>
      </c>
      <c r="P75"/>
      <c r="Q75"/>
      <c r="T75"/>
      <c r="U75"/>
      <c r="Y75"/>
      <c r="Z75"/>
      <c r="AA75"/>
    </row>
    <row r="76" spans="2:27" x14ac:dyDescent="0.3">
      <c r="B7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HCP_AI2021NORTHEAST56110</v>
      </c>
      <c r="C76" s="9" t="s">
        <v>8</v>
      </c>
      <c r="D76" s="10">
        <v>44496</v>
      </c>
      <c r="E76" s="10" t="str">
        <f t="shared" si="2"/>
        <v>2021</v>
      </c>
      <c r="F76" s="10">
        <v>44678</v>
      </c>
      <c r="G76" s="9">
        <v>56</v>
      </c>
      <c r="H76" s="9">
        <v>1</v>
      </c>
      <c r="I76" s="9">
        <v>10</v>
      </c>
      <c r="J76" s="9" t="s">
        <v>15</v>
      </c>
      <c r="K76" s="11" t="s">
        <v>16</v>
      </c>
      <c r="L76" t="str">
        <f t="shared" si="3"/>
        <v>10+ Years</v>
      </c>
      <c r="P76"/>
      <c r="Q76"/>
      <c r="T76"/>
      <c r="U76"/>
      <c r="Y76"/>
      <c r="Z76"/>
      <c r="AA76"/>
    </row>
    <row r="77" spans="2:27" x14ac:dyDescent="0.3">
      <c r="B7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HCP_AI2021CENTRAL564928</v>
      </c>
      <c r="C77" s="9" t="s">
        <v>8</v>
      </c>
      <c r="D77" s="10">
        <v>44496</v>
      </c>
      <c r="E77" s="10" t="str">
        <f t="shared" si="2"/>
        <v>2021</v>
      </c>
      <c r="F77" s="10">
        <v>44819</v>
      </c>
      <c r="G77" s="9">
        <v>56</v>
      </c>
      <c r="H77" s="9">
        <v>49</v>
      </c>
      <c r="I77" s="9">
        <v>28</v>
      </c>
      <c r="J77" s="9" t="s">
        <v>14</v>
      </c>
      <c r="K77" s="11" t="s">
        <v>10</v>
      </c>
      <c r="L77" t="str">
        <f t="shared" si="3"/>
        <v>5-10 Years</v>
      </c>
      <c r="P77"/>
      <c r="Q77"/>
      <c r="T77"/>
      <c r="U77"/>
      <c r="Y77"/>
      <c r="Z77"/>
      <c r="AA77"/>
    </row>
    <row r="78" spans="2:27" x14ac:dyDescent="0.3">
      <c r="B7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HCP_AI2021WEST562418</v>
      </c>
      <c r="C78" s="9" t="s">
        <v>8</v>
      </c>
      <c r="D78" s="10">
        <v>44440</v>
      </c>
      <c r="E78" s="10" t="str">
        <f t="shared" si="2"/>
        <v>2021</v>
      </c>
      <c r="F78" s="10">
        <v>44768</v>
      </c>
      <c r="G78" s="9">
        <v>56</v>
      </c>
      <c r="H78" s="9">
        <v>24</v>
      </c>
      <c r="I78" s="9">
        <v>18</v>
      </c>
      <c r="J78" s="9" t="s">
        <v>9</v>
      </c>
      <c r="K78" s="11" t="s">
        <v>10</v>
      </c>
      <c r="L78" t="str">
        <f t="shared" si="3"/>
        <v>10+ Years</v>
      </c>
      <c r="P78"/>
      <c r="Q78"/>
      <c r="T78"/>
      <c r="U78"/>
      <c r="Y78"/>
      <c r="Z78"/>
      <c r="AA78"/>
    </row>
    <row r="79" spans="2:27" x14ac:dyDescent="0.3">
      <c r="B7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HCP_AI2021WEST564729</v>
      </c>
      <c r="C79" s="9" t="s">
        <v>8</v>
      </c>
      <c r="D79" s="10">
        <v>44419</v>
      </c>
      <c r="E79" s="10" t="str">
        <f t="shared" si="2"/>
        <v>2021</v>
      </c>
      <c r="F79" s="10">
        <v>44802</v>
      </c>
      <c r="G79" s="9">
        <v>56</v>
      </c>
      <c r="H79" s="9">
        <v>47</v>
      </c>
      <c r="I79" s="9">
        <v>29</v>
      </c>
      <c r="J79" s="9" t="s">
        <v>9</v>
      </c>
      <c r="K79" s="11" t="s">
        <v>10</v>
      </c>
      <c r="L79" t="str">
        <f t="shared" si="3"/>
        <v>10+ Years</v>
      </c>
      <c r="P79"/>
      <c r="Q79"/>
      <c r="T79"/>
      <c r="U79"/>
      <c r="Y79"/>
      <c r="Z79"/>
      <c r="AA79"/>
    </row>
    <row r="80" spans="2:27" x14ac:dyDescent="0.3">
      <c r="B8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HCP_AI2021MIDWEST56266</v>
      </c>
      <c r="C80" s="9" t="s">
        <v>8</v>
      </c>
      <c r="D80" s="10">
        <v>44410</v>
      </c>
      <c r="E80" s="10" t="str">
        <f t="shared" si="2"/>
        <v>2021</v>
      </c>
      <c r="F80" s="10">
        <v>44826</v>
      </c>
      <c r="G80" s="9">
        <v>56</v>
      </c>
      <c r="H80" s="9">
        <v>26</v>
      </c>
      <c r="I80" s="9">
        <v>6</v>
      </c>
      <c r="J80" s="9" t="s">
        <v>13</v>
      </c>
      <c r="K80" s="11" t="s">
        <v>10</v>
      </c>
      <c r="L80" t="str">
        <f t="shared" si="3"/>
        <v>10+ Years</v>
      </c>
      <c r="P80"/>
      <c r="Q80"/>
      <c r="T80"/>
      <c r="U80"/>
      <c r="Y80"/>
      <c r="Z80"/>
      <c r="AA80"/>
    </row>
    <row r="81" spans="2:27" x14ac:dyDescent="0.3">
      <c r="B8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HCP_AI2021CENTRAL56272</v>
      </c>
      <c r="C81" s="9" t="s">
        <v>8</v>
      </c>
      <c r="D81" s="10">
        <v>44313</v>
      </c>
      <c r="E81" s="10" t="str">
        <f t="shared" si="2"/>
        <v>2021</v>
      </c>
      <c r="F81" s="10">
        <v>44827</v>
      </c>
      <c r="G81" s="9">
        <v>56</v>
      </c>
      <c r="H81" s="9">
        <v>27</v>
      </c>
      <c r="I81" s="9">
        <v>2</v>
      </c>
      <c r="J81" s="9" t="s">
        <v>14</v>
      </c>
      <c r="K81" s="11" t="s">
        <v>10</v>
      </c>
      <c r="L81" t="str">
        <f t="shared" si="3"/>
        <v>5-10 Years</v>
      </c>
      <c r="P81"/>
      <c r="Q81"/>
      <c r="T81"/>
      <c r="U81"/>
      <c r="Y81"/>
      <c r="Z81"/>
      <c r="AA81"/>
    </row>
    <row r="82" spans="2:27" x14ac:dyDescent="0.3">
      <c r="B8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HCP_PD2021MIDWEST562011</v>
      </c>
      <c r="C82" s="9" t="s">
        <v>20</v>
      </c>
      <c r="D82" s="10">
        <v>44221</v>
      </c>
      <c r="E82" s="10" t="str">
        <f t="shared" si="2"/>
        <v>2021</v>
      </c>
      <c r="F82" s="10">
        <v>44823</v>
      </c>
      <c r="G82" s="9">
        <v>56</v>
      </c>
      <c r="H82" s="9">
        <v>20</v>
      </c>
      <c r="I82" s="9">
        <v>11</v>
      </c>
      <c r="J82" s="9" t="s">
        <v>13</v>
      </c>
      <c r="K82" s="11" t="s">
        <v>10</v>
      </c>
      <c r="L82" t="str">
        <f t="shared" si="3"/>
        <v>1-3 Years</v>
      </c>
      <c r="P82"/>
      <c r="Q82"/>
      <c r="T82"/>
      <c r="U82"/>
      <c r="Y82"/>
      <c r="Z82"/>
      <c r="AA82"/>
    </row>
    <row r="83" spans="2:27" x14ac:dyDescent="0.3">
      <c r="B8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HCP_AI2020MIDWEST564329</v>
      </c>
      <c r="C83" s="9" t="s">
        <v>8</v>
      </c>
      <c r="D83" s="10">
        <v>44180</v>
      </c>
      <c r="E83" s="10" t="str">
        <f t="shared" si="2"/>
        <v>2020</v>
      </c>
      <c r="F83" s="10">
        <v>44826</v>
      </c>
      <c r="G83" s="9">
        <v>56</v>
      </c>
      <c r="H83" s="9">
        <v>43</v>
      </c>
      <c r="I83" s="9">
        <v>29</v>
      </c>
      <c r="J83" s="9" t="s">
        <v>13</v>
      </c>
      <c r="K83" s="11" t="s">
        <v>10</v>
      </c>
      <c r="L83" t="str">
        <f t="shared" si="3"/>
        <v>10+ Years</v>
      </c>
      <c r="P83"/>
      <c r="Q83"/>
      <c r="T83"/>
      <c r="U83"/>
      <c r="Y83"/>
      <c r="Z83"/>
      <c r="AA83"/>
    </row>
    <row r="84" spans="2:27" x14ac:dyDescent="0.3">
      <c r="B8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HCP_AI2020SOUTHEAST5694</v>
      </c>
      <c r="C84" s="9" t="s">
        <v>8</v>
      </c>
      <c r="D84" s="10">
        <v>44117</v>
      </c>
      <c r="E84" s="10" t="str">
        <f t="shared" si="2"/>
        <v>2020</v>
      </c>
      <c r="F84" s="10">
        <v>44777</v>
      </c>
      <c r="G84" s="9">
        <v>56</v>
      </c>
      <c r="H84" s="9">
        <v>9</v>
      </c>
      <c r="I84" s="9">
        <v>4</v>
      </c>
      <c r="J84" s="9" t="s">
        <v>19</v>
      </c>
      <c r="K84" s="11" t="s">
        <v>10</v>
      </c>
      <c r="L84" t="str">
        <f t="shared" si="3"/>
        <v>10+ Years</v>
      </c>
      <c r="P84"/>
      <c r="Q84"/>
      <c r="T84"/>
      <c r="U84"/>
      <c r="Y84"/>
      <c r="Z84"/>
      <c r="AA84"/>
    </row>
    <row r="85" spans="2:27" x14ac:dyDescent="0.3">
      <c r="B8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HCP_AI2020NORTHEAST564419</v>
      </c>
      <c r="C85" s="9" t="s">
        <v>8</v>
      </c>
      <c r="D85" s="10">
        <v>44083</v>
      </c>
      <c r="E85" s="10" t="str">
        <f t="shared" si="2"/>
        <v>2020</v>
      </c>
      <c r="F85" s="10">
        <v>44288</v>
      </c>
      <c r="G85" s="9">
        <v>56</v>
      </c>
      <c r="H85" s="9">
        <v>44</v>
      </c>
      <c r="I85" s="9">
        <v>19</v>
      </c>
      <c r="J85" s="9" t="s">
        <v>15</v>
      </c>
      <c r="K85" s="11" t="s">
        <v>16</v>
      </c>
      <c r="L85" t="str">
        <f t="shared" si="3"/>
        <v>3-5 Years</v>
      </c>
      <c r="P85"/>
      <c r="Q85"/>
      <c r="T85"/>
      <c r="U85"/>
      <c r="Y85"/>
      <c r="Z85"/>
      <c r="AA85"/>
    </row>
    <row r="86" spans="2:27" x14ac:dyDescent="0.3">
      <c r="B8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HCP_AI2020CENTRAL564816</v>
      </c>
      <c r="C86" s="9" t="s">
        <v>8</v>
      </c>
      <c r="D86" s="10">
        <v>43993</v>
      </c>
      <c r="E86" s="10" t="str">
        <f t="shared" si="2"/>
        <v>2020</v>
      </c>
      <c r="F86" s="10">
        <v>44664</v>
      </c>
      <c r="G86" s="9">
        <v>56</v>
      </c>
      <c r="H86" s="9">
        <v>48</v>
      </c>
      <c r="I86" s="9">
        <v>16</v>
      </c>
      <c r="J86" s="9" t="s">
        <v>14</v>
      </c>
      <c r="K86" s="11" t="s">
        <v>16</v>
      </c>
      <c r="L86" t="str">
        <f t="shared" si="3"/>
        <v>10+ Years</v>
      </c>
      <c r="P86"/>
      <c r="Q86"/>
      <c r="T86"/>
      <c r="U86"/>
      <c r="Y86"/>
      <c r="Z86"/>
      <c r="AA86"/>
    </row>
    <row r="87" spans="2:27" x14ac:dyDescent="0.3">
      <c r="B8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HCP_PDA2020MIDWEST5590</v>
      </c>
      <c r="C87" s="9" t="s">
        <v>17</v>
      </c>
      <c r="D87" s="10">
        <v>44180</v>
      </c>
      <c r="E87" s="10" t="str">
        <f t="shared" si="2"/>
        <v>2020</v>
      </c>
      <c r="F87" s="10">
        <v>44825</v>
      </c>
      <c r="G87" s="9">
        <v>55</v>
      </c>
      <c r="H87" s="9">
        <v>9</v>
      </c>
      <c r="I87" s="9">
        <v>0</v>
      </c>
      <c r="J87" s="9" t="s">
        <v>13</v>
      </c>
      <c r="K87" s="11" t="s">
        <v>10</v>
      </c>
      <c r="L87" t="str">
        <f t="shared" si="3"/>
        <v>10+ Years</v>
      </c>
      <c r="P87"/>
      <c r="Q87"/>
      <c r="T87"/>
      <c r="U87"/>
      <c r="Y87"/>
      <c r="Z87"/>
      <c r="AA87"/>
    </row>
    <row r="88" spans="2:27" x14ac:dyDescent="0.3">
      <c r="B8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HCP_AI2020SOUTHEAST55153</v>
      </c>
      <c r="C88" s="9" t="s">
        <v>8</v>
      </c>
      <c r="D88" s="10">
        <v>44157</v>
      </c>
      <c r="E88" s="10" t="str">
        <f t="shared" si="2"/>
        <v>2020</v>
      </c>
      <c r="F88" s="10">
        <v>44825</v>
      </c>
      <c r="G88" s="9">
        <v>55</v>
      </c>
      <c r="H88" s="9">
        <v>15</v>
      </c>
      <c r="I88" s="9">
        <v>3</v>
      </c>
      <c r="J88" s="9" t="s">
        <v>19</v>
      </c>
      <c r="K88" s="11" t="s">
        <v>10</v>
      </c>
      <c r="L88" t="str">
        <f t="shared" si="3"/>
        <v>0-1 Years</v>
      </c>
      <c r="P88"/>
      <c r="Q88"/>
      <c r="T88"/>
      <c r="U88"/>
      <c r="Y88"/>
      <c r="Z88"/>
      <c r="AA88"/>
    </row>
    <row r="89" spans="2:27" x14ac:dyDescent="0.3">
      <c r="B8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HCP_AI2020NORTHEAST554220</v>
      </c>
      <c r="C89" s="9" t="s">
        <v>8</v>
      </c>
      <c r="D89" s="10">
        <v>44138</v>
      </c>
      <c r="E89" s="10" t="str">
        <f t="shared" si="2"/>
        <v>2020</v>
      </c>
      <c r="F89" s="10">
        <v>44819</v>
      </c>
      <c r="G89" s="9">
        <v>55</v>
      </c>
      <c r="H89" s="9">
        <v>42</v>
      </c>
      <c r="I89" s="9">
        <v>20</v>
      </c>
      <c r="J89" s="9" t="s">
        <v>15</v>
      </c>
      <c r="K89" s="11" t="s">
        <v>10</v>
      </c>
      <c r="L89" t="str">
        <f t="shared" si="3"/>
        <v>1-3 Years</v>
      </c>
      <c r="P89"/>
      <c r="Q89"/>
      <c r="T89"/>
      <c r="U89"/>
      <c r="Y89"/>
      <c r="Z89"/>
      <c r="AA89"/>
    </row>
    <row r="90" spans="2:27" x14ac:dyDescent="0.3">
      <c r="B90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HCP_PDA2021NORTHEAST543921</v>
      </c>
      <c r="C90" s="9" t="s">
        <v>17</v>
      </c>
      <c r="D90" s="10">
        <v>44263</v>
      </c>
      <c r="E90" s="10" t="str">
        <f t="shared" si="2"/>
        <v>2021</v>
      </c>
      <c r="F90" s="10">
        <v>44508</v>
      </c>
      <c r="G90" s="9">
        <v>54</v>
      </c>
      <c r="H90" s="9">
        <v>39</v>
      </c>
      <c r="I90" s="9">
        <v>21</v>
      </c>
      <c r="J90" s="9" t="s">
        <v>15</v>
      </c>
      <c r="K90" s="11" t="s">
        <v>16</v>
      </c>
      <c r="L90" t="str">
        <f t="shared" si="3"/>
        <v>10+ Years</v>
      </c>
      <c r="P90"/>
      <c r="Q90"/>
      <c r="T90"/>
      <c r="U90"/>
      <c r="Y90"/>
      <c r="Z90"/>
      <c r="AA90"/>
    </row>
    <row r="91" spans="2:27" x14ac:dyDescent="0.3">
      <c r="B9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HCP_PDA2020NORTHEAST543413</v>
      </c>
      <c r="C91" s="9" t="s">
        <v>17</v>
      </c>
      <c r="D91" s="10">
        <v>44180</v>
      </c>
      <c r="E91" s="10" t="str">
        <f t="shared" si="2"/>
        <v>2020</v>
      </c>
      <c r="F91" s="10">
        <v>44657</v>
      </c>
      <c r="G91" s="9">
        <v>54</v>
      </c>
      <c r="H91" s="9">
        <v>34</v>
      </c>
      <c r="I91" s="9">
        <v>13</v>
      </c>
      <c r="J91" s="9" t="s">
        <v>15</v>
      </c>
      <c r="K91" s="11" t="s">
        <v>16</v>
      </c>
      <c r="L91" t="str">
        <f t="shared" si="3"/>
        <v>10+ Years</v>
      </c>
      <c r="P91"/>
      <c r="Q91"/>
      <c r="T91"/>
      <c r="U91"/>
      <c r="Y91"/>
      <c r="Z91"/>
      <c r="AA91"/>
    </row>
    <row r="92" spans="2:27" x14ac:dyDescent="0.3">
      <c r="B9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HCP_AI2020WEST54918</v>
      </c>
      <c r="C92" s="9" t="s">
        <v>8</v>
      </c>
      <c r="D92" s="10">
        <v>44115</v>
      </c>
      <c r="E92" s="10" t="str">
        <f t="shared" si="2"/>
        <v>2020</v>
      </c>
      <c r="F92" s="10">
        <v>44823</v>
      </c>
      <c r="G92" s="9">
        <v>54</v>
      </c>
      <c r="H92" s="9">
        <v>9</v>
      </c>
      <c r="I92" s="9">
        <v>18</v>
      </c>
      <c r="J92" s="9" t="s">
        <v>9</v>
      </c>
      <c r="K92" s="11" t="s">
        <v>10</v>
      </c>
      <c r="L92" t="str">
        <f t="shared" si="3"/>
        <v>10+ Years</v>
      </c>
      <c r="P92"/>
      <c r="Q92"/>
      <c r="T92"/>
      <c r="U92"/>
      <c r="Y92"/>
      <c r="Z92"/>
      <c r="AA92"/>
    </row>
    <row r="93" spans="2:27" x14ac:dyDescent="0.3">
      <c r="B9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HCP_AI2020WEST542222</v>
      </c>
      <c r="C93" s="9" t="s">
        <v>8</v>
      </c>
      <c r="D93" s="10">
        <v>44152</v>
      </c>
      <c r="E93" s="10" t="str">
        <f t="shared" si="2"/>
        <v>2020</v>
      </c>
      <c r="F93" s="10">
        <v>44816</v>
      </c>
      <c r="G93" s="9">
        <v>54</v>
      </c>
      <c r="H93" s="9">
        <v>22</v>
      </c>
      <c r="I93" s="9">
        <v>22</v>
      </c>
      <c r="J93" s="9" t="s">
        <v>9</v>
      </c>
      <c r="K93" s="11" t="s">
        <v>10</v>
      </c>
      <c r="L93" t="str">
        <f t="shared" si="3"/>
        <v>10+ Years</v>
      </c>
      <c r="P93"/>
      <c r="Q93"/>
      <c r="T93"/>
      <c r="U93"/>
      <c r="Y93"/>
      <c r="Z93"/>
      <c r="AA93"/>
    </row>
    <row r="94" spans="2:27" x14ac:dyDescent="0.3">
      <c r="B9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HCP_AI2022NORTHEAST53147</v>
      </c>
      <c r="C94" s="9" t="s">
        <v>8</v>
      </c>
      <c r="D94" s="10">
        <v>44606</v>
      </c>
      <c r="E94" s="10" t="str">
        <f t="shared" si="2"/>
        <v>2022</v>
      </c>
      <c r="F94" s="10">
        <v>44679</v>
      </c>
      <c r="G94" s="9">
        <v>53</v>
      </c>
      <c r="H94" s="9">
        <v>14</v>
      </c>
      <c r="I94" s="9">
        <v>7</v>
      </c>
      <c r="J94" s="9" t="s">
        <v>15</v>
      </c>
      <c r="K94" s="11" t="s">
        <v>16</v>
      </c>
      <c r="L94" t="str">
        <f t="shared" si="3"/>
        <v>10+ Years</v>
      </c>
      <c r="P94"/>
      <c r="Q94"/>
      <c r="T94"/>
      <c r="U94"/>
      <c r="Y94"/>
      <c r="Z94"/>
      <c r="AA94"/>
    </row>
    <row r="95" spans="2:27" x14ac:dyDescent="0.3">
      <c r="B9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HCP_PDA2021CENTRAL534722</v>
      </c>
      <c r="C95" s="9" t="s">
        <v>17</v>
      </c>
      <c r="D95" s="10">
        <v>44524</v>
      </c>
      <c r="E95" s="10" t="str">
        <f t="shared" si="2"/>
        <v>2021</v>
      </c>
      <c r="F95" s="10">
        <v>44819</v>
      </c>
      <c r="G95" s="9">
        <v>53</v>
      </c>
      <c r="H95" s="9">
        <v>47</v>
      </c>
      <c r="I95" s="9">
        <v>22</v>
      </c>
      <c r="J95" s="9" t="s">
        <v>14</v>
      </c>
      <c r="K95" s="11" t="s">
        <v>10</v>
      </c>
      <c r="L95" t="str">
        <f t="shared" si="3"/>
        <v>5-10 Years</v>
      </c>
      <c r="P95"/>
      <c r="Q95"/>
      <c r="T95"/>
      <c r="U95"/>
      <c r="Y95"/>
      <c r="Z95"/>
      <c r="AA95"/>
    </row>
    <row r="96" spans="2:27" x14ac:dyDescent="0.3">
      <c r="B9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HCP_AI2021CENTRAL532225</v>
      </c>
      <c r="C96" s="9" t="s">
        <v>8</v>
      </c>
      <c r="D96" s="10">
        <v>44493</v>
      </c>
      <c r="E96" s="10" t="str">
        <f t="shared" si="2"/>
        <v>2021</v>
      </c>
      <c r="F96" s="10">
        <v>44805</v>
      </c>
      <c r="G96" s="9">
        <v>53</v>
      </c>
      <c r="H96" s="9">
        <v>22</v>
      </c>
      <c r="I96" s="9">
        <v>25</v>
      </c>
      <c r="J96" s="9" t="s">
        <v>14</v>
      </c>
      <c r="K96" s="11" t="s">
        <v>10</v>
      </c>
      <c r="L96" t="str">
        <f t="shared" si="3"/>
        <v>10+ Years</v>
      </c>
      <c r="P96"/>
      <c r="Q96"/>
      <c r="T96"/>
      <c r="U96"/>
      <c r="Y96"/>
      <c r="Z96"/>
      <c r="AA96"/>
    </row>
    <row r="97" spans="2:27" x14ac:dyDescent="0.3">
      <c r="B9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HCP_PDA2021CENTRAL53262</v>
      </c>
      <c r="C97" s="9" t="s">
        <v>17</v>
      </c>
      <c r="D97" s="10">
        <v>44469</v>
      </c>
      <c r="E97" s="10" t="str">
        <f t="shared" si="2"/>
        <v>2021</v>
      </c>
      <c r="F97" s="10">
        <v>44819</v>
      </c>
      <c r="G97" s="9">
        <v>53</v>
      </c>
      <c r="H97" s="9">
        <v>26</v>
      </c>
      <c r="I97" s="9">
        <v>2</v>
      </c>
      <c r="J97" s="9" t="s">
        <v>14</v>
      </c>
      <c r="K97" s="11" t="s">
        <v>10</v>
      </c>
      <c r="L97" t="str">
        <f t="shared" si="3"/>
        <v>10+ Years</v>
      </c>
      <c r="P97"/>
      <c r="Q97"/>
      <c r="T97"/>
      <c r="U97"/>
      <c r="Y97"/>
      <c r="Z97"/>
      <c r="AA97"/>
    </row>
    <row r="98" spans="2:27" x14ac:dyDescent="0.3">
      <c r="B9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HCP_AI2021CENTRAL532317</v>
      </c>
      <c r="C98" s="9" t="s">
        <v>8</v>
      </c>
      <c r="D98" s="10">
        <v>44396</v>
      </c>
      <c r="E98" s="10" t="str">
        <f t="shared" si="2"/>
        <v>2021</v>
      </c>
      <c r="F98" s="10">
        <v>44817</v>
      </c>
      <c r="G98" s="9">
        <v>53</v>
      </c>
      <c r="H98" s="9">
        <v>23</v>
      </c>
      <c r="I98" s="9">
        <v>17</v>
      </c>
      <c r="J98" s="9" t="s">
        <v>14</v>
      </c>
      <c r="K98" s="11" t="s">
        <v>10</v>
      </c>
      <c r="L98" t="str">
        <f t="shared" si="3"/>
        <v>1-3 Years</v>
      </c>
      <c r="P98"/>
      <c r="Q98"/>
      <c r="T98"/>
      <c r="U98"/>
      <c r="Y98"/>
      <c r="Z98"/>
      <c r="AA98"/>
    </row>
    <row r="99" spans="2:27" x14ac:dyDescent="0.3">
      <c r="B9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HCP_AI2021MIDWEST533716</v>
      </c>
      <c r="C99" s="9" t="s">
        <v>8</v>
      </c>
      <c r="D99" s="10">
        <v>44384</v>
      </c>
      <c r="E99" s="10" t="str">
        <f t="shared" si="2"/>
        <v>2021</v>
      </c>
      <c r="F99" s="10">
        <v>44637</v>
      </c>
      <c r="G99" s="9">
        <v>53</v>
      </c>
      <c r="H99" s="9">
        <v>37</v>
      </c>
      <c r="I99" s="9">
        <v>16</v>
      </c>
      <c r="J99" s="9" t="s">
        <v>13</v>
      </c>
      <c r="K99" s="11" t="s">
        <v>16</v>
      </c>
      <c r="L99" t="str">
        <f t="shared" si="3"/>
        <v>10+ Years</v>
      </c>
      <c r="P99"/>
      <c r="Q99"/>
      <c r="T99"/>
      <c r="U99"/>
      <c r="Y99"/>
      <c r="Z99"/>
      <c r="AA99"/>
    </row>
    <row r="100" spans="2:27" x14ac:dyDescent="0.3">
      <c r="B10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HCP_AI2021NORTHEAST531529</v>
      </c>
      <c r="C100" s="9" t="s">
        <v>8</v>
      </c>
      <c r="D100" s="10">
        <v>44320</v>
      </c>
      <c r="E100" s="10" t="str">
        <f t="shared" si="2"/>
        <v>2021</v>
      </c>
      <c r="F100" s="10">
        <v>44726</v>
      </c>
      <c r="G100" s="9">
        <v>53</v>
      </c>
      <c r="H100" s="9">
        <v>15</v>
      </c>
      <c r="I100" s="9">
        <v>29</v>
      </c>
      <c r="J100" s="9" t="s">
        <v>15</v>
      </c>
      <c r="K100" s="11" t="s">
        <v>16</v>
      </c>
      <c r="L100" t="str">
        <f t="shared" si="3"/>
        <v>10+ Years</v>
      </c>
      <c r="P100"/>
      <c r="Q100"/>
      <c r="T100"/>
      <c r="U100"/>
      <c r="Y100"/>
      <c r="Z100"/>
      <c r="AA100"/>
    </row>
    <row r="101" spans="2:27" x14ac:dyDescent="0.3">
      <c r="B10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HCP_AI2021WEST534027</v>
      </c>
      <c r="C101" s="9" t="s">
        <v>8</v>
      </c>
      <c r="D101" s="10">
        <v>44299</v>
      </c>
      <c r="E101" s="10" t="str">
        <f t="shared" si="2"/>
        <v>2021</v>
      </c>
      <c r="F101" s="10">
        <v>44494</v>
      </c>
      <c r="G101" s="9">
        <v>53</v>
      </c>
      <c r="H101" s="9">
        <v>40</v>
      </c>
      <c r="I101" s="9">
        <v>27</v>
      </c>
      <c r="J101" s="9" t="s">
        <v>9</v>
      </c>
      <c r="K101" s="11" t="s">
        <v>16</v>
      </c>
      <c r="L101" t="str">
        <f t="shared" si="3"/>
        <v>10+ Years</v>
      </c>
      <c r="P101"/>
      <c r="Q101"/>
      <c r="T101"/>
      <c r="U101"/>
      <c r="Y101"/>
      <c r="Z101"/>
      <c r="AA101"/>
    </row>
    <row r="102" spans="2:27" x14ac:dyDescent="0.3">
      <c r="B10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HCP_AI2021MIDWEST53017</v>
      </c>
      <c r="C102" s="9" t="s">
        <v>8</v>
      </c>
      <c r="D102" s="10">
        <v>44279</v>
      </c>
      <c r="E102" s="10" t="str">
        <f t="shared" si="2"/>
        <v>2021</v>
      </c>
      <c r="F102" s="10">
        <v>44825</v>
      </c>
      <c r="G102" s="9">
        <v>53</v>
      </c>
      <c r="H102" s="9">
        <v>0</v>
      </c>
      <c r="I102" s="9">
        <v>17</v>
      </c>
      <c r="J102" s="9" t="s">
        <v>13</v>
      </c>
      <c r="K102" s="11" t="s">
        <v>10</v>
      </c>
      <c r="L102" t="str">
        <f t="shared" si="3"/>
        <v>10+ Years</v>
      </c>
      <c r="P102"/>
      <c r="Q102"/>
      <c r="T102"/>
      <c r="U102"/>
      <c r="Y102"/>
      <c r="Z102"/>
      <c r="AA102"/>
    </row>
    <row r="103" spans="2:27" x14ac:dyDescent="0.3">
      <c r="B10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HCP_AI2021CENTRAL535022</v>
      </c>
      <c r="C103" s="9" t="s">
        <v>8</v>
      </c>
      <c r="D103" s="10">
        <v>44221</v>
      </c>
      <c r="E103" s="10" t="str">
        <f t="shared" si="2"/>
        <v>2021</v>
      </c>
      <c r="F103" s="10">
        <v>44816</v>
      </c>
      <c r="G103" s="9">
        <v>53</v>
      </c>
      <c r="H103" s="9">
        <v>50</v>
      </c>
      <c r="I103" s="9">
        <v>22</v>
      </c>
      <c r="J103" s="9" t="s">
        <v>14</v>
      </c>
      <c r="K103" s="11" t="s">
        <v>10</v>
      </c>
      <c r="L103" t="str">
        <f t="shared" si="3"/>
        <v>10+ Years</v>
      </c>
      <c r="P103"/>
      <c r="Q103"/>
      <c r="T103"/>
      <c r="U103"/>
      <c r="Y103"/>
      <c r="Z103"/>
      <c r="AA103"/>
    </row>
    <row r="104" spans="2:27" x14ac:dyDescent="0.3">
      <c r="B10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HCP_PDA2020SOUTHEAST535016</v>
      </c>
      <c r="C104" s="9" t="s">
        <v>17</v>
      </c>
      <c r="D104" s="10">
        <v>44165</v>
      </c>
      <c r="E104" s="10" t="str">
        <f t="shared" si="2"/>
        <v>2020</v>
      </c>
      <c r="F104" s="10">
        <v>44529</v>
      </c>
      <c r="G104" s="9">
        <v>53</v>
      </c>
      <c r="H104" s="9">
        <v>50</v>
      </c>
      <c r="I104" s="9">
        <v>16</v>
      </c>
      <c r="J104" s="9" t="s">
        <v>19</v>
      </c>
      <c r="K104" s="11" t="s">
        <v>16</v>
      </c>
      <c r="L104" t="str">
        <f t="shared" si="3"/>
        <v>10+ Years</v>
      </c>
      <c r="P104"/>
      <c r="Q104"/>
      <c r="T104"/>
      <c r="U104"/>
      <c r="Y104"/>
      <c r="Z104"/>
      <c r="AA104"/>
    </row>
    <row r="105" spans="2:27" x14ac:dyDescent="0.3">
      <c r="B10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HCP_PDA2020SOUTHEAST533818</v>
      </c>
      <c r="C105" s="9" t="s">
        <v>17</v>
      </c>
      <c r="D105" s="10">
        <v>44132</v>
      </c>
      <c r="E105" s="10" t="str">
        <f t="shared" si="2"/>
        <v>2020</v>
      </c>
      <c r="F105" s="10">
        <v>44812</v>
      </c>
      <c r="G105" s="9">
        <v>53</v>
      </c>
      <c r="H105" s="9">
        <v>38</v>
      </c>
      <c r="I105" s="9">
        <v>18</v>
      </c>
      <c r="J105" s="9" t="s">
        <v>19</v>
      </c>
      <c r="K105" s="11" t="s">
        <v>10</v>
      </c>
      <c r="L105" t="str">
        <f t="shared" si="3"/>
        <v>10+ Years</v>
      </c>
      <c r="P105"/>
      <c r="Q105"/>
      <c r="T105"/>
      <c r="U105"/>
      <c r="Y105"/>
      <c r="Z105"/>
      <c r="AA105"/>
    </row>
    <row r="106" spans="2:27" x14ac:dyDescent="0.3">
      <c r="B106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HCP_A2020MIDWEST531421</v>
      </c>
      <c r="C106" s="9" t="s">
        <v>12</v>
      </c>
      <c r="D106" s="10">
        <v>43972</v>
      </c>
      <c r="E106" s="10" t="str">
        <f t="shared" si="2"/>
        <v>2020</v>
      </c>
      <c r="F106" s="10">
        <v>44522</v>
      </c>
      <c r="G106" s="9">
        <v>53</v>
      </c>
      <c r="H106" s="9">
        <v>14</v>
      </c>
      <c r="I106" s="9">
        <v>21</v>
      </c>
      <c r="J106" s="9" t="s">
        <v>13</v>
      </c>
      <c r="K106" s="11" t="s">
        <v>16</v>
      </c>
      <c r="L106" t="str">
        <f t="shared" si="3"/>
        <v>10+ Years</v>
      </c>
      <c r="P106"/>
      <c r="Q106"/>
      <c r="T106"/>
      <c r="U106"/>
      <c r="Y106"/>
      <c r="Z106"/>
      <c r="AA106"/>
    </row>
    <row r="107" spans="2:27" x14ac:dyDescent="0.3">
      <c r="B10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HCP_PDA2022SOUTHEAST523616</v>
      </c>
      <c r="C107" s="9" t="s">
        <v>17</v>
      </c>
      <c r="D107" s="10">
        <v>44592</v>
      </c>
      <c r="E107" s="10" t="str">
        <f t="shared" si="2"/>
        <v>2022</v>
      </c>
      <c r="F107" s="10">
        <v>44592</v>
      </c>
      <c r="G107" s="9">
        <v>52</v>
      </c>
      <c r="H107" s="9">
        <v>36</v>
      </c>
      <c r="I107" s="9">
        <v>16</v>
      </c>
      <c r="J107" s="9" t="s">
        <v>19</v>
      </c>
      <c r="K107" s="11" t="s">
        <v>16</v>
      </c>
      <c r="L107" t="str">
        <f t="shared" si="3"/>
        <v>10+ Years</v>
      </c>
      <c r="P107"/>
      <c r="Q107"/>
      <c r="T107"/>
      <c r="U107"/>
      <c r="Y107"/>
      <c r="Z107"/>
      <c r="AA107"/>
    </row>
    <row r="108" spans="2:27" x14ac:dyDescent="0.3">
      <c r="B10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HCP_AI2021SOUTHEAST522714</v>
      </c>
      <c r="C108" s="9" t="s">
        <v>8</v>
      </c>
      <c r="D108" s="10">
        <v>44424</v>
      </c>
      <c r="E108" s="10" t="str">
        <f t="shared" si="2"/>
        <v>2021</v>
      </c>
      <c r="F108" s="10">
        <v>44650</v>
      </c>
      <c r="G108" s="9">
        <v>52</v>
      </c>
      <c r="H108" s="9">
        <v>27</v>
      </c>
      <c r="I108" s="9">
        <v>14</v>
      </c>
      <c r="J108" s="9" t="s">
        <v>19</v>
      </c>
      <c r="K108" s="11" t="s">
        <v>16</v>
      </c>
      <c r="L108" t="str">
        <f t="shared" si="3"/>
        <v>10+ Years</v>
      </c>
      <c r="P108"/>
      <c r="Q108"/>
      <c r="T108"/>
      <c r="U108"/>
      <c r="Y108"/>
      <c r="Z108"/>
      <c r="AA108"/>
    </row>
    <row r="109" spans="2:27" x14ac:dyDescent="0.3">
      <c r="B10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HCP_AI2021CENTRAL52529</v>
      </c>
      <c r="C109" s="9" t="s">
        <v>8</v>
      </c>
      <c r="D109" s="10">
        <v>44355</v>
      </c>
      <c r="E109" s="10" t="str">
        <f t="shared" si="2"/>
        <v>2021</v>
      </c>
      <c r="F109" s="10">
        <v>44826</v>
      </c>
      <c r="G109" s="9">
        <v>52</v>
      </c>
      <c r="H109" s="9">
        <v>5</v>
      </c>
      <c r="I109" s="9">
        <v>29</v>
      </c>
      <c r="J109" s="9" t="s">
        <v>14</v>
      </c>
      <c r="K109" s="11" t="s">
        <v>10</v>
      </c>
      <c r="L109" t="str">
        <f t="shared" si="3"/>
        <v>10+ Years</v>
      </c>
      <c r="P109"/>
      <c r="Q109"/>
      <c r="T109"/>
      <c r="U109"/>
      <c r="Y109"/>
      <c r="Z109"/>
      <c r="AA109"/>
    </row>
    <row r="110" spans="2:27" x14ac:dyDescent="0.3">
      <c r="B11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HCP_AI2020WEST521627</v>
      </c>
      <c r="C110" s="9" t="s">
        <v>8</v>
      </c>
      <c r="D110" s="10">
        <v>44068</v>
      </c>
      <c r="E110" s="10" t="str">
        <f t="shared" si="2"/>
        <v>2020</v>
      </c>
      <c r="F110" s="10">
        <v>44529</v>
      </c>
      <c r="G110" s="9">
        <v>52</v>
      </c>
      <c r="H110" s="9">
        <v>16</v>
      </c>
      <c r="I110" s="9">
        <v>27</v>
      </c>
      <c r="J110" s="9" t="s">
        <v>9</v>
      </c>
      <c r="K110" s="11" t="s">
        <v>16</v>
      </c>
      <c r="L110" t="str">
        <f t="shared" si="3"/>
        <v>10+ Years</v>
      </c>
      <c r="P110"/>
      <c r="Q110"/>
      <c r="T110"/>
      <c r="U110"/>
      <c r="Y110"/>
      <c r="Z110"/>
      <c r="AA110"/>
    </row>
    <row r="111" spans="2:27" x14ac:dyDescent="0.3">
      <c r="B11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HCP_AI2020WEST521022</v>
      </c>
      <c r="C111" s="9" t="s">
        <v>8</v>
      </c>
      <c r="D111" s="10">
        <v>44048</v>
      </c>
      <c r="E111" s="10" t="str">
        <f t="shared" si="2"/>
        <v>2020</v>
      </c>
      <c r="F111" s="10">
        <v>44818</v>
      </c>
      <c r="G111" s="9">
        <v>52</v>
      </c>
      <c r="H111" s="9">
        <v>10</v>
      </c>
      <c r="I111" s="9">
        <v>22</v>
      </c>
      <c r="J111" s="9" t="s">
        <v>9</v>
      </c>
      <c r="K111" s="11" t="s">
        <v>10</v>
      </c>
      <c r="L111" t="str">
        <f t="shared" si="3"/>
        <v>10+ Years</v>
      </c>
      <c r="P111"/>
      <c r="Q111"/>
      <c r="T111"/>
      <c r="U111"/>
      <c r="Y111"/>
      <c r="Z111"/>
      <c r="AA111"/>
    </row>
    <row r="112" spans="2:27" x14ac:dyDescent="0.3">
      <c r="B11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HCP_AI2020WEST52012</v>
      </c>
      <c r="C112" s="9" t="s">
        <v>8</v>
      </c>
      <c r="D112" s="10">
        <v>44033</v>
      </c>
      <c r="E112" s="10" t="str">
        <f t="shared" si="2"/>
        <v>2020</v>
      </c>
      <c r="F112" s="10">
        <v>44756</v>
      </c>
      <c r="G112" s="9">
        <v>52</v>
      </c>
      <c r="H112" s="9">
        <v>0</v>
      </c>
      <c r="I112" s="9">
        <v>12</v>
      </c>
      <c r="J112" s="9" t="s">
        <v>9</v>
      </c>
      <c r="K112" s="11" t="s">
        <v>10</v>
      </c>
      <c r="L112" t="str">
        <f t="shared" si="3"/>
        <v>10+ Years</v>
      </c>
      <c r="P112"/>
      <c r="Q112"/>
      <c r="T112"/>
      <c r="U112"/>
      <c r="Y112"/>
      <c r="Z112"/>
      <c r="AA112"/>
    </row>
    <row r="113" spans="2:27" x14ac:dyDescent="0.3">
      <c r="B11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HCP_PD2021MIDWEST524411</v>
      </c>
      <c r="C113" s="9" t="s">
        <v>20</v>
      </c>
      <c r="D113" s="10">
        <v>44544</v>
      </c>
      <c r="E113" s="10" t="str">
        <f t="shared" si="2"/>
        <v>2021</v>
      </c>
      <c r="F113" s="10">
        <v>44816</v>
      </c>
      <c r="G113" s="9">
        <v>52</v>
      </c>
      <c r="H113" s="9">
        <v>44</v>
      </c>
      <c r="I113" s="9">
        <v>11</v>
      </c>
      <c r="J113" s="9" t="s">
        <v>13</v>
      </c>
      <c r="K113" s="11" t="s">
        <v>10</v>
      </c>
      <c r="L113" t="str">
        <f t="shared" si="3"/>
        <v>10+ Years</v>
      </c>
      <c r="P113"/>
      <c r="Q113"/>
      <c r="T113"/>
      <c r="U113"/>
      <c r="Y113"/>
      <c r="Z113"/>
      <c r="AA113"/>
    </row>
    <row r="114" spans="2:27" x14ac:dyDescent="0.3">
      <c r="B114" s="8" t="str">
        <f>"HCP_"&amp;Table1[[#This Row],[Specialty]]&amp;Table1[[#This Row],[Rx_Start_Year]]&amp;Table1[[#This Row],[Area Name]]&amp;Table1[[#This Row],[Enrollments]]&amp;Table1[[#This Row],[NPS]]&amp;Table1[[#This Row],[Discontinuations]]</f>
        <v>HCP_NA2022NA511718</v>
      </c>
      <c r="C114" s="9" t="s">
        <v>11</v>
      </c>
      <c r="D114" s="10">
        <v>44616</v>
      </c>
      <c r="E114" s="10" t="str">
        <f t="shared" si="2"/>
        <v>2022</v>
      </c>
      <c r="F114" s="10">
        <v>44805</v>
      </c>
      <c r="G114" s="9">
        <v>51</v>
      </c>
      <c r="H114" s="9">
        <v>17</v>
      </c>
      <c r="I114" s="9">
        <v>18</v>
      </c>
      <c r="J114" s="9" t="s">
        <v>11</v>
      </c>
      <c r="K114" s="11" t="s">
        <v>10</v>
      </c>
      <c r="L114" t="str">
        <f t="shared" si="3"/>
        <v>10+ Years</v>
      </c>
      <c r="P114"/>
      <c r="Q114"/>
      <c r="T114"/>
      <c r="U114"/>
      <c r="Y114"/>
      <c r="Z114"/>
      <c r="AA114"/>
    </row>
    <row r="115" spans="2:27" x14ac:dyDescent="0.3">
      <c r="B11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HCP_AI2021WEST513222</v>
      </c>
      <c r="C115" s="9" t="s">
        <v>8</v>
      </c>
      <c r="D115" s="10">
        <v>44550</v>
      </c>
      <c r="E115" s="10" t="str">
        <f t="shared" si="2"/>
        <v>2021</v>
      </c>
      <c r="F115" s="10">
        <v>44825</v>
      </c>
      <c r="G115" s="9">
        <v>51</v>
      </c>
      <c r="H115" s="9">
        <v>32</v>
      </c>
      <c r="I115" s="9">
        <v>22</v>
      </c>
      <c r="J115" s="9" t="s">
        <v>9</v>
      </c>
      <c r="K115" s="11" t="s">
        <v>10</v>
      </c>
      <c r="L115" t="str">
        <f t="shared" si="3"/>
        <v>10+ Years</v>
      </c>
      <c r="P115"/>
      <c r="Q115"/>
      <c r="T115"/>
      <c r="U115"/>
      <c r="Y115"/>
      <c r="Z115"/>
      <c r="AA115"/>
    </row>
    <row r="116" spans="2:27" x14ac:dyDescent="0.3">
      <c r="B11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HCP_AI2021WEST51227</v>
      </c>
      <c r="C116" s="9" t="s">
        <v>8</v>
      </c>
      <c r="D116" s="10">
        <v>44543</v>
      </c>
      <c r="E116" s="10" t="str">
        <f t="shared" si="2"/>
        <v>2021</v>
      </c>
      <c r="F116" s="10">
        <v>44827</v>
      </c>
      <c r="G116" s="9">
        <v>51</v>
      </c>
      <c r="H116" s="9">
        <v>2</v>
      </c>
      <c r="I116" s="9">
        <v>27</v>
      </c>
      <c r="J116" s="9" t="s">
        <v>9</v>
      </c>
      <c r="K116" s="11" t="s">
        <v>10</v>
      </c>
      <c r="L116" t="str">
        <f t="shared" si="3"/>
        <v>10+ Years</v>
      </c>
      <c r="P116"/>
      <c r="Q116"/>
      <c r="T116"/>
      <c r="U116"/>
      <c r="Y116"/>
      <c r="Z116"/>
      <c r="AA116"/>
    </row>
    <row r="117" spans="2:27" x14ac:dyDescent="0.3">
      <c r="B11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HCP_AI2021CENTRAL513915</v>
      </c>
      <c r="C117" s="9" t="s">
        <v>8</v>
      </c>
      <c r="D117" s="10">
        <v>44529</v>
      </c>
      <c r="E117" s="10" t="str">
        <f t="shared" si="2"/>
        <v>2021</v>
      </c>
      <c r="F117" s="10">
        <v>44819</v>
      </c>
      <c r="G117" s="9">
        <v>51</v>
      </c>
      <c r="H117" s="9">
        <v>39</v>
      </c>
      <c r="I117" s="9">
        <v>15</v>
      </c>
      <c r="J117" s="9" t="s">
        <v>14</v>
      </c>
      <c r="K117" s="11" t="s">
        <v>10</v>
      </c>
      <c r="L117" t="str">
        <f t="shared" si="3"/>
        <v>10+ Years</v>
      </c>
      <c r="P117"/>
      <c r="Q117"/>
      <c r="T117"/>
      <c r="U117"/>
      <c r="Y117"/>
      <c r="Z117"/>
      <c r="AA117"/>
    </row>
    <row r="118" spans="2:27" x14ac:dyDescent="0.3">
      <c r="B11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HCP_PD2021NORTHEAST511030</v>
      </c>
      <c r="C118" s="9" t="s">
        <v>20</v>
      </c>
      <c r="D118" s="10">
        <v>44375</v>
      </c>
      <c r="E118" s="10" t="str">
        <f t="shared" si="2"/>
        <v>2021</v>
      </c>
      <c r="F118" s="10">
        <v>44825</v>
      </c>
      <c r="G118" s="9">
        <v>51</v>
      </c>
      <c r="H118" s="9">
        <v>10</v>
      </c>
      <c r="I118" s="9">
        <v>30</v>
      </c>
      <c r="J118" s="9" t="s">
        <v>15</v>
      </c>
      <c r="K118" s="11" t="s">
        <v>10</v>
      </c>
      <c r="L118" t="str">
        <f t="shared" si="3"/>
        <v>10+ Years</v>
      </c>
      <c r="P118"/>
      <c r="Q118"/>
      <c r="T118"/>
      <c r="U118"/>
      <c r="Y118"/>
      <c r="Z118"/>
      <c r="AA118"/>
    </row>
    <row r="119" spans="2:27" x14ac:dyDescent="0.3">
      <c r="B11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HCP_AI2021CENTRAL51111</v>
      </c>
      <c r="C119" s="9" t="s">
        <v>8</v>
      </c>
      <c r="D119" s="10">
        <v>44241</v>
      </c>
      <c r="E119" s="10" t="str">
        <f t="shared" si="2"/>
        <v>2021</v>
      </c>
      <c r="F119" s="10">
        <v>44825</v>
      </c>
      <c r="G119" s="9">
        <v>51</v>
      </c>
      <c r="H119" s="9">
        <v>1</v>
      </c>
      <c r="I119" s="9">
        <v>11</v>
      </c>
      <c r="J119" s="9" t="s">
        <v>14</v>
      </c>
      <c r="K119" s="11" t="s">
        <v>10</v>
      </c>
      <c r="L119" t="str">
        <f t="shared" si="3"/>
        <v>10+ Years</v>
      </c>
      <c r="P119"/>
      <c r="Q119"/>
      <c r="T119"/>
      <c r="U119"/>
      <c r="Y119"/>
      <c r="Z119"/>
      <c r="AA119"/>
    </row>
    <row r="120" spans="2:27" x14ac:dyDescent="0.3">
      <c r="B12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HCP_AI2021MIDWEST512713</v>
      </c>
      <c r="C120" s="9" t="s">
        <v>8</v>
      </c>
      <c r="D120" s="10">
        <v>44209</v>
      </c>
      <c r="E120" s="10" t="str">
        <f t="shared" si="2"/>
        <v>2021</v>
      </c>
      <c r="F120" s="10">
        <v>44818</v>
      </c>
      <c r="G120" s="9">
        <v>51</v>
      </c>
      <c r="H120" s="9">
        <v>27</v>
      </c>
      <c r="I120" s="9">
        <v>13</v>
      </c>
      <c r="J120" s="9" t="s">
        <v>13</v>
      </c>
      <c r="K120" s="11" t="s">
        <v>10</v>
      </c>
      <c r="L120" t="str">
        <f t="shared" si="3"/>
        <v>10+ Years</v>
      </c>
      <c r="P120"/>
      <c r="Q120"/>
      <c r="T120"/>
      <c r="U120"/>
      <c r="Y120"/>
      <c r="Z120"/>
      <c r="AA120"/>
    </row>
    <row r="121" spans="2:27" x14ac:dyDescent="0.3">
      <c r="B12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HCP_AI2020SOUTHEAST512228</v>
      </c>
      <c r="C121" s="9" t="s">
        <v>8</v>
      </c>
      <c r="D121" s="10">
        <v>44119</v>
      </c>
      <c r="E121" s="10" t="str">
        <f t="shared" si="2"/>
        <v>2020</v>
      </c>
      <c r="F121" s="10">
        <v>44504</v>
      </c>
      <c r="G121" s="9">
        <v>51</v>
      </c>
      <c r="H121" s="9">
        <v>22</v>
      </c>
      <c r="I121" s="9">
        <v>28</v>
      </c>
      <c r="J121" s="9" t="s">
        <v>19</v>
      </c>
      <c r="K121" s="11" t="s">
        <v>16</v>
      </c>
      <c r="L121" t="str">
        <f t="shared" si="3"/>
        <v>10+ Years</v>
      </c>
      <c r="P121"/>
      <c r="Q121"/>
      <c r="T121"/>
      <c r="U121"/>
      <c r="Y121"/>
      <c r="Z121"/>
      <c r="AA121"/>
    </row>
    <row r="122" spans="2:27" x14ac:dyDescent="0.3">
      <c r="B122" s="8" t="str">
        <f>"HCP_"&amp;Table1[[#This Row],[Specialty]]&amp;Table1[[#This Row],[Rx_Start_Year]]&amp;Table1[[#This Row],[Area Name]]&amp;Table1[[#This Row],[Enrollments]]&amp;Table1[[#This Row],[NPS]]&amp;Table1[[#This Row],[Discontinuations]]</f>
        <v>HCP_GP2020WEST513523</v>
      </c>
      <c r="C122" s="9" t="s">
        <v>23</v>
      </c>
      <c r="D122" s="10">
        <v>43979</v>
      </c>
      <c r="E122" s="10" t="str">
        <f t="shared" si="2"/>
        <v>2020</v>
      </c>
      <c r="F122" s="10">
        <v>44811</v>
      </c>
      <c r="G122" s="9">
        <v>51</v>
      </c>
      <c r="H122" s="9">
        <v>35</v>
      </c>
      <c r="I122" s="9">
        <v>23</v>
      </c>
      <c r="J122" s="9" t="s">
        <v>9</v>
      </c>
      <c r="K122" s="11" t="s">
        <v>10</v>
      </c>
      <c r="L122" t="str">
        <f t="shared" si="3"/>
        <v>10+ Years</v>
      </c>
      <c r="P122"/>
      <c r="Q122"/>
      <c r="T122"/>
      <c r="U122"/>
      <c r="Y122"/>
      <c r="Z122"/>
      <c r="AA122"/>
    </row>
    <row r="123" spans="2:27" x14ac:dyDescent="0.3">
      <c r="B12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HCP_AI2021CENTRAL502021</v>
      </c>
      <c r="C123" s="9" t="s">
        <v>8</v>
      </c>
      <c r="D123" s="10">
        <v>44502</v>
      </c>
      <c r="E123" s="10" t="str">
        <f t="shared" si="2"/>
        <v>2021</v>
      </c>
      <c r="F123" s="10">
        <v>44783</v>
      </c>
      <c r="G123" s="9">
        <v>50</v>
      </c>
      <c r="H123" s="9">
        <v>20</v>
      </c>
      <c r="I123" s="9">
        <v>21</v>
      </c>
      <c r="J123" s="9" t="s">
        <v>14</v>
      </c>
      <c r="K123" s="11" t="s">
        <v>10</v>
      </c>
      <c r="L123" t="str">
        <f t="shared" si="3"/>
        <v>10+ Years</v>
      </c>
      <c r="P123"/>
      <c r="Q123"/>
      <c r="T123"/>
      <c r="U123"/>
      <c r="Y123"/>
      <c r="Z123"/>
      <c r="AA123"/>
    </row>
    <row r="124" spans="2:27" x14ac:dyDescent="0.3">
      <c r="B124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HCP_A2021CENTRAL502110</v>
      </c>
      <c r="C124" s="9" t="s">
        <v>12</v>
      </c>
      <c r="D124" s="10">
        <v>44417</v>
      </c>
      <c r="E124" s="10" t="str">
        <f t="shared" si="2"/>
        <v>2021</v>
      </c>
      <c r="F124" s="10">
        <v>44811</v>
      </c>
      <c r="G124" s="9">
        <v>50</v>
      </c>
      <c r="H124" s="9">
        <v>21</v>
      </c>
      <c r="I124" s="9">
        <v>10</v>
      </c>
      <c r="J124" s="9" t="s">
        <v>14</v>
      </c>
      <c r="K124" s="11" t="s">
        <v>10</v>
      </c>
      <c r="L124" t="str">
        <f t="shared" si="3"/>
        <v>10+ Years</v>
      </c>
      <c r="P124"/>
      <c r="Q124"/>
      <c r="T124"/>
      <c r="U124"/>
      <c r="Y124"/>
      <c r="Z124"/>
      <c r="AA124"/>
    </row>
    <row r="125" spans="2:27" x14ac:dyDescent="0.3">
      <c r="B12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HCP_AI2021NORTHEAST504724</v>
      </c>
      <c r="C125" s="9" t="s">
        <v>8</v>
      </c>
      <c r="D125" s="10">
        <v>44413</v>
      </c>
      <c r="E125" s="10" t="str">
        <f t="shared" si="2"/>
        <v>2021</v>
      </c>
      <c r="F125" s="10">
        <v>44811</v>
      </c>
      <c r="G125" s="9">
        <v>50</v>
      </c>
      <c r="H125" s="9">
        <v>47</v>
      </c>
      <c r="I125" s="9">
        <v>24</v>
      </c>
      <c r="J125" s="9" t="s">
        <v>15</v>
      </c>
      <c r="K125" s="11" t="s">
        <v>10</v>
      </c>
      <c r="L125" t="str">
        <f t="shared" si="3"/>
        <v>5-10 Years</v>
      </c>
      <c r="P125"/>
      <c r="Q125"/>
      <c r="T125"/>
      <c r="U125"/>
      <c r="Y125"/>
      <c r="Z125"/>
      <c r="AA125"/>
    </row>
    <row r="126" spans="2:27" x14ac:dyDescent="0.3">
      <c r="B12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HCP_AI2021NORTHEAST50246</v>
      </c>
      <c r="C126" s="9" t="s">
        <v>8</v>
      </c>
      <c r="D126" s="10">
        <v>44396</v>
      </c>
      <c r="E126" s="10" t="str">
        <f t="shared" si="2"/>
        <v>2021</v>
      </c>
      <c r="F126" s="10">
        <v>44434</v>
      </c>
      <c r="G126" s="9">
        <v>50</v>
      </c>
      <c r="H126" s="9">
        <v>24</v>
      </c>
      <c r="I126" s="9">
        <v>6</v>
      </c>
      <c r="J126" s="9" t="s">
        <v>15</v>
      </c>
      <c r="K126" s="11" t="s">
        <v>16</v>
      </c>
      <c r="L126" t="str">
        <f t="shared" si="3"/>
        <v>10+ Years</v>
      </c>
      <c r="P126"/>
      <c r="Q126"/>
      <c r="T126"/>
      <c r="U126"/>
      <c r="Y126"/>
      <c r="Z126"/>
      <c r="AA126"/>
    </row>
    <row r="127" spans="2:27" x14ac:dyDescent="0.3">
      <c r="B12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HCP_AI2021WEST5062</v>
      </c>
      <c r="C127" s="9" t="s">
        <v>8</v>
      </c>
      <c r="D127" s="10">
        <v>44392</v>
      </c>
      <c r="E127" s="10" t="str">
        <f t="shared" si="2"/>
        <v>2021</v>
      </c>
      <c r="F127" s="10">
        <v>44545</v>
      </c>
      <c r="G127" s="9">
        <v>50</v>
      </c>
      <c r="H127" s="9">
        <v>6</v>
      </c>
      <c r="I127" s="9">
        <v>2</v>
      </c>
      <c r="J127" s="9" t="s">
        <v>9</v>
      </c>
      <c r="K127" s="11" t="s">
        <v>16</v>
      </c>
      <c r="L127" t="str">
        <f t="shared" si="3"/>
        <v>5-10 Years</v>
      </c>
      <c r="P127"/>
      <c r="Q127"/>
      <c r="T127"/>
      <c r="U127"/>
      <c r="Y127"/>
      <c r="Z127"/>
      <c r="AA127"/>
    </row>
    <row r="128" spans="2:27" x14ac:dyDescent="0.3">
      <c r="B12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HCP_AI2021SOUTHEAST501010</v>
      </c>
      <c r="C128" s="9" t="s">
        <v>8</v>
      </c>
      <c r="D128" s="10">
        <v>44326</v>
      </c>
      <c r="E128" s="10" t="str">
        <f t="shared" si="2"/>
        <v>2021</v>
      </c>
      <c r="F128" s="10">
        <v>44455</v>
      </c>
      <c r="G128" s="9">
        <v>50</v>
      </c>
      <c r="H128" s="9">
        <v>10</v>
      </c>
      <c r="I128" s="9">
        <v>10</v>
      </c>
      <c r="J128" s="9" t="s">
        <v>19</v>
      </c>
      <c r="K128" s="11" t="s">
        <v>16</v>
      </c>
      <c r="L128" t="str">
        <f t="shared" si="3"/>
        <v>1-3 Years</v>
      </c>
      <c r="P128"/>
      <c r="Q128"/>
      <c r="T128"/>
      <c r="U128"/>
      <c r="Y128"/>
      <c r="Z128"/>
      <c r="AA128"/>
    </row>
    <row r="129" spans="2:27" x14ac:dyDescent="0.3">
      <c r="B12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HCP_AI2021SOUTHEAST50396</v>
      </c>
      <c r="C129" s="9" t="s">
        <v>8</v>
      </c>
      <c r="D129" s="10">
        <v>44209</v>
      </c>
      <c r="E129" s="10" t="str">
        <f t="shared" si="2"/>
        <v>2021</v>
      </c>
      <c r="F129" s="10">
        <v>44824</v>
      </c>
      <c r="G129" s="9">
        <v>50</v>
      </c>
      <c r="H129" s="9">
        <v>39</v>
      </c>
      <c r="I129" s="9">
        <v>6</v>
      </c>
      <c r="J129" s="9" t="s">
        <v>19</v>
      </c>
      <c r="K129" s="11" t="s">
        <v>10</v>
      </c>
      <c r="L129" t="str">
        <f t="shared" si="3"/>
        <v>5-10 Years</v>
      </c>
      <c r="P129"/>
      <c r="Q129"/>
      <c r="T129"/>
      <c r="U129"/>
      <c r="Y129"/>
      <c r="Z129"/>
      <c r="AA129"/>
    </row>
    <row r="130" spans="2:27" x14ac:dyDescent="0.3">
      <c r="B13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HCP_AI2020CENTRAL504621</v>
      </c>
      <c r="C130" s="9" t="s">
        <v>8</v>
      </c>
      <c r="D130" s="10">
        <v>44013</v>
      </c>
      <c r="E130" s="10" t="str">
        <f t="shared" ref="E130:E193" si="4">TEXT(D130,"yyyy")</f>
        <v>2020</v>
      </c>
      <c r="F130" s="10">
        <v>44825</v>
      </c>
      <c r="G130" s="9">
        <v>50</v>
      </c>
      <c r="H130" s="9">
        <v>46</v>
      </c>
      <c r="I130" s="9">
        <v>21</v>
      </c>
      <c r="J130" s="9" t="s">
        <v>14</v>
      </c>
      <c r="K130" s="11" t="s">
        <v>10</v>
      </c>
      <c r="L130" t="str">
        <f t="shared" ref="L130:L193" si="5">IF(I129&lt;=1,"0-1 Years",
IF(I129&lt;=3,"1-3 Years",
IF(I129&lt;=5,"3-5 Years",
IF(I129&lt;=10,"5-10 Years",
"10+ Years"))))</f>
        <v>5-10 Years</v>
      </c>
      <c r="P130"/>
      <c r="Q130"/>
      <c r="T130"/>
      <c r="U130"/>
      <c r="Y130"/>
      <c r="Z130"/>
      <c r="AA130"/>
    </row>
    <row r="131" spans="2:27" x14ac:dyDescent="0.3">
      <c r="B13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HCP_AI2020SOUTHEAST504924</v>
      </c>
      <c r="C131" s="9" t="s">
        <v>8</v>
      </c>
      <c r="D131" s="10">
        <v>44013</v>
      </c>
      <c r="E131" s="10" t="str">
        <f t="shared" si="4"/>
        <v>2020</v>
      </c>
      <c r="F131" s="10">
        <v>44791</v>
      </c>
      <c r="G131" s="9">
        <v>50</v>
      </c>
      <c r="H131" s="9">
        <v>49</v>
      </c>
      <c r="I131" s="9">
        <v>24</v>
      </c>
      <c r="J131" s="9" t="s">
        <v>19</v>
      </c>
      <c r="K131" s="11" t="s">
        <v>10</v>
      </c>
      <c r="L131" t="str">
        <f t="shared" si="5"/>
        <v>10+ Years</v>
      </c>
      <c r="P131"/>
      <c r="Q131"/>
      <c r="T131"/>
      <c r="U131"/>
      <c r="Y131"/>
      <c r="Z131"/>
      <c r="AA131"/>
    </row>
    <row r="132" spans="2:27" x14ac:dyDescent="0.3">
      <c r="B13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HCP_AI2021MIDWEST49259</v>
      </c>
      <c r="C132" s="9" t="s">
        <v>8</v>
      </c>
      <c r="D132" s="10">
        <v>44515</v>
      </c>
      <c r="E132" s="10" t="str">
        <f t="shared" si="4"/>
        <v>2021</v>
      </c>
      <c r="F132" s="10">
        <v>44515</v>
      </c>
      <c r="G132" s="9">
        <v>49</v>
      </c>
      <c r="H132" s="9">
        <v>25</v>
      </c>
      <c r="I132" s="9">
        <v>9</v>
      </c>
      <c r="J132" s="9" t="s">
        <v>13</v>
      </c>
      <c r="K132" s="11" t="s">
        <v>16</v>
      </c>
      <c r="L132" t="str">
        <f t="shared" si="5"/>
        <v>10+ Years</v>
      </c>
      <c r="P132"/>
      <c r="Q132"/>
      <c r="T132"/>
      <c r="U132"/>
      <c r="Y132"/>
      <c r="Z132"/>
      <c r="AA132"/>
    </row>
    <row r="133" spans="2:27" x14ac:dyDescent="0.3">
      <c r="B13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HCP_AI2021CENTRAL49177</v>
      </c>
      <c r="C133" s="9" t="s">
        <v>8</v>
      </c>
      <c r="D133" s="10">
        <v>44481</v>
      </c>
      <c r="E133" s="10" t="str">
        <f t="shared" si="4"/>
        <v>2021</v>
      </c>
      <c r="F133" s="10">
        <v>44824</v>
      </c>
      <c r="G133" s="9">
        <v>49</v>
      </c>
      <c r="H133" s="9">
        <v>17</v>
      </c>
      <c r="I133" s="9">
        <v>7</v>
      </c>
      <c r="J133" s="9" t="s">
        <v>14</v>
      </c>
      <c r="K133" s="11" t="s">
        <v>10</v>
      </c>
      <c r="L133" t="str">
        <f t="shared" si="5"/>
        <v>5-10 Years</v>
      </c>
      <c r="P133"/>
      <c r="Q133"/>
      <c r="T133"/>
      <c r="U133"/>
      <c r="Y133"/>
      <c r="Z133"/>
      <c r="AA133"/>
    </row>
    <row r="134" spans="2:27" x14ac:dyDescent="0.3">
      <c r="B13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HCP_AI2020WEST494320</v>
      </c>
      <c r="C134" s="9" t="s">
        <v>8</v>
      </c>
      <c r="D134" s="10">
        <v>44130</v>
      </c>
      <c r="E134" s="10" t="str">
        <f t="shared" si="4"/>
        <v>2020</v>
      </c>
      <c r="F134" s="10">
        <v>44173</v>
      </c>
      <c r="G134" s="9">
        <v>49</v>
      </c>
      <c r="H134" s="9">
        <v>43</v>
      </c>
      <c r="I134" s="9">
        <v>20</v>
      </c>
      <c r="J134" s="9" t="s">
        <v>9</v>
      </c>
      <c r="K134" s="11" t="s">
        <v>16</v>
      </c>
      <c r="L134" t="str">
        <f t="shared" si="5"/>
        <v>5-10 Years</v>
      </c>
      <c r="P134"/>
      <c r="Q134"/>
      <c r="T134"/>
      <c r="U134"/>
      <c r="Y134"/>
      <c r="Z134"/>
      <c r="AA134"/>
    </row>
    <row r="135" spans="2:27" x14ac:dyDescent="0.3">
      <c r="B13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HCP_AI2020SOUTHEAST49452</v>
      </c>
      <c r="C135" s="9" t="s">
        <v>8</v>
      </c>
      <c r="D135" s="10">
        <v>44066</v>
      </c>
      <c r="E135" s="10" t="str">
        <f t="shared" si="4"/>
        <v>2020</v>
      </c>
      <c r="F135" s="10">
        <v>44227</v>
      </c>
      <c r="G135" s="9">
        <v>49</v>
      </c>
      <c r="H135" s="9">
        <v>45</v>
      </c>
      <c r="I135" s="9">
        <v>2</v>
      </c>
      <c r="J135" s="9" t="s">
        <v>19</v>
      </c>
      <c r="K135" s="11" t="s">
        <v>16</v>
      </c>
      <c r="L135" t="str">
        <f t="shared" si="5"/>
        <v>10+ Years</v>
      </c>
      <c r="P135"/>
      <c r="Q135"/>
      <c r="T135"/>
      <c r="U135"/>
      <c r="Y135"/>
      <c r="Z135"/>
      <c r="AA135"/>
    </row>
    <row r="136" spans="2:27" x14ac:dyDescent="0.3">
      <c r="B13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HCP_AI2021MIDWEST48011</v>
      </c>
      <c r="C136" s="9" t="s">
        <v>8</v>
      </c>
      <c r="D136" s="10">
        <v>44473</v>
      </c>
      <c r="E136" s="10" t="str">
        <f t="shared" si="4"/>
        <v>2021</v>
      </c>
      <c r="F136" s="10">
        <v>44825</v>
      </c>
      <c r="G136" s="9">
        <v>48</v>
      </c>
      <c r="H136" s="9">
        <v>0</v>
      </c>
      <c r="I136" s="9">
        <v>11</v>
      </c>
      <c r="J136" s="9" t="s">
        <v>13</v>
      </c>
      <c r="K136" s="11" t="s">
        <v>10</v>
      </c>
      <c r="L136" t="str">
        <f t="shared" si="5"/>
        <v>1-3 Years</v>
      </c>
      <c r="P136"/>
      <c r="Q136"/>
      <c r="T136"/>
      <c r="U136"/>
      <c r="Y136"/>
      <c r="Z136"/>
      <c r="AA136"/>
    </row>
    <row r="137" spans="2:27" x14ac:dyDescent="0.3">
      <c r="B13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HCP_AI2021NORTHEAST48500</v>
      </c>
      <c r="C137" s="9" t="s">
        <v>8</v>
      </c>
      <c r="D137" s="10">
        <v>44287</v>
      </c>
      <c r="E137" s="10" t="str">
        <f t="shared" si="4"/>
        <v>2021</v>
      </c>
      <c r="F137" s="10">
        <v>44287</v>
      </c>
      <c r="G137" s="9">
        <v>48</v>
      </c>
      <c r="H137" s="9">
        <v>50</v>
      </c>
      <c r="I137" s="9">
        <v>0</v>
      </c>
      <c r="J137" s="9" t="s">
        <v>15</v>
      </c>
      <c r="K137" s="11" t="s">
        <v>16</v>
      </c>
      <c r="L137" t="str">
        <f t="shared" si="5"/>
        <v>10+ Years</v>
      </c>
      <c r="P137"/>
      <c r="Q137"/>
      <c r="T137"/>
      <c r="U137"/>
      <c r="Y137"/>
      <c r="Z137"/>
      <c r="AA137"/>
    </row>
    <row r="138" spans="2:27" x14ac:dyDescent="0.3">
      <c r="B13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HCP_AI2020MIDWEST483826</v>
      </c>
      <c r="C138" s="9" t="s">
        <v>8</v>
      </c>
      <c r="D138" s="10">
        <v>44049</v>
      </c>
      <c r="E138" s="10" t="str">
        <f t="shared" si="4"/>
        <v>2020</v>
      </c>
      <c r="F138" s="10">
        <v>44823</v>
      </c>
      <c r="G138" s="9">
        <v>48</v>
      </c>
      <c r="H138" s="9">
        <v>38</v>
      </c>
      <c r="I138" s="9">
        <v>26</v>
      </c>
      <c r="J138" s="9" t="s">
        <v>13</v>
      </c>
      <c r="K138" s="11" t="s">
        <v>10</v>
      </c>
      <c r="L138" t="str">
        <f t="shared" si="5"/>
        <v>0-1 Years</v>
      </c>
      <c r="P138"/>
      <c r="Q138"/>
      <c r="T138"/>
      <c r="U138"/>
      <c r="Y138"/>
      <c r="Z138"/>
      <c r="AA138"/>
    </row>
    <row r="139" spans="2:27" x14ac:dyDescent="0.3">
      <c r="B13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HCP_AI2020CENTRAL482729</v>
      </c>
      <c r="C139" s="9" t="s">
        <v>8</v>
      </c>
      <c r="D139" s="10">
        <v>44018</v>
      </c>
      <c r="E139" s="10" t="str">
        <f t="shared" si="4"/>
        <v>2020</v>
      </c>
      <c r="F139" s="10">
        <v>44823</v>
      </c>
      <c r="G139" s="9">
        <v>48</v>
      </c>
      <c r="H139" s="9">
        <v>27</v>
      </c>
      <c r="I139" s="9">
        <v>29</v>
      </c>
      <c r="J139" s="9" t="s">
        <v>14</v>
      </c>
      <c r="K139" s="11" t="s">
        <v>10</v>
      </c>
      <c r="L139" t="str">
        <f t="shared" si="5"/>
        <v>10+ Years</v>
      </c>
      <c r="P139"/>
      <c r="Q139"/>
      <c r="T139"/>
      <c r="U139"/>
      <c r="Y139"/>
      <c r="Z139"/>
      <c r="AA139"/>
    </row>
    <row r="140" spans="2:27" x14ac:dyDescent="0.3">
      <c r="B14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HCP_AI2021MIDWEST47630</v>
      </c>
      <c r="C140" s="9" t="s">
        <v>8</v>
      </c>
      <c r="D140" s="10">
        <v>44404</v>
      </c>
      <c r="E140" s="10" t="str">
        <f t="shared" si="4"/>
        <v>2021</v>
      </c>
      <c r="F140" s="10">
        <v>44404</v>
      </c>
      <c r="G140" s="9">
        <v>47</v>
      </c>
      <c r="H140" s="9">
        <v>6</v>
      </c>
      <c r="I140" s="9">
        <v>30</v>
      </c>
      <c r="J140" s="9" t="s">
        <v>13</v>
      </c>
      <c r="K140" s="11" t="s">
        <v>16</v>
      </c>
      <c r="L140" t="str">
        <f t="shared" si="5"/>
        <v>10+ Years</v>
      </c>
      <c r="P140"/>
      <c r="Q140"/>
      <c r="T140"/>
      <c r="U140"/>
      <c r="Y140"/>
      <c r="Z140"/>
      <c r="AA140"/>
    </row>
    <row r="141" spans="2:27" x14ac:dyDescent="0.3">
      <c r="B14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HCP_AI2021WEST47297</v>
      </c>
      <c r="C141" s="9" t="s">
        <v>8</v>
      </c>
      <c r="D141" s="10">
        <v>44264</v>
      </c>
      <c r="E141" s="10" t="str">
        <f t="shared" si="4"/>
        <v>2021</v>
      </c>
      <c r="F141" s="10">
        <v>44293</v>
      </c>
      <c r="G141" s="9">
        <v>47</v>
      </c>
      <c r="H141" s="9">
        <v>29</v>
      </c>
      <c r="I141" s="9">
        <v>7</v>
      </c>
      <c r="J141" s="9" t="s">
        <v>9</v>
      </c>
      <c r="K141" s="11" t="s">
        <v>16</v>
      </c>
      <c r="L141" t="str">
        <f t="shared" si="5"/>
        <v>10+ Years</v>
      </c>
      <c r="P141"/>
      <c r="Q141"/>
      <c r="T141"/>
      <c r="U141"/>
      <c r="Y141"/>
      <c r="Z141"/>
      <c r="AA141"/>
    </row>
    <row r="142" spans="2:27" x14ac:dyDescent="0.3">
      <c r="B14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HCP_PDA2020SOUTHEAST47422</v>
      </c>
      <c r="C142" s="9" t="s">
        <v>17</v>
      </c>
      <c r="D142" s="10">
        <v>44049</v>
      </c>
      <c r="E142" s="10" t="str">
        <f t="shared" si="4"/>
        <v>2020</v>
      </c>
      <c r="F142" s="10">
        <v>44824</v>
      </c>
      <c r="G142" s="9">
        <v>47</v>
      </c>
      <c r="H142" s="9">
        <v>4</v>
      </c>
      <c r="I142" s="9">
        <v>22</v>
      </c>
      <c r="J142" s="9" t="s">
        <v>19</v>
      </c>
      <c r="K142" s="11" t="s">
        <v>10</v>
      </c>
      <c r="L142" t="str">
        <f t="shared" si="5"/>
        <v>5-10 Years</v>
      </c>
      <c r="P142"/>
      <c r="Q142"/>
      <c r="T142"/>
      <c r="U142"/>
      <c r="Y142"/>
      <c r="Z142"/>
      <c r="AA142"/>
    </row>
    <row r="143" spans="2:27" x14ac:dyDescent="0.3">
      <c r="B14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HCP_AI2020WEST4733</v>
      </c>
      <c r="C143" s="9" t="s">
        <v>8</v>
      </c>
      <c r="D143" s="10">
        <v>43963</v>
      </c>
      <c r="E143" s="10" t="str">
        <f t="shared" si="4"/>
        <v>2020</v>
      </c>
      <c r="F143" s="10">
        <v>44804</v>
      </c>
      <c r="G143" s="9">
        <v>47</v>
      </c>
      <c r="H143" s="9">
        <v>3</v>
      </c>
      <c r="I143" s="9">
        <v>3</v>
      </c>
      <c r="J143" s="9" t="s">
        <v>9</v>
      </c>
      <c r="K143" s="11" t="s">
        <v>10</v>
      </c>
      <c r="L143" t="str">
        <f t="shared" si="5"/>
        <v>10+ Years</v>
      </c>
      <c r="P143"/>
      <c r="Q143"/>
      <c r="T143"/>
      <c r="U143"/>
      <c r="Y143"/>
      <c r="Z143"/>
      <c r="AA143"/>
    </row>
    <row r="144" spans="2:27" x14ac:dyDescent="0.3">
      <c r="B14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HCP_AI2020SOUTHEAST463515</v>
      </c>
      <c r="C144" s="9" t="s">
        <v>8</v>
      </c>
      <c r="D144" s="10">
        <v>44179</v>
      </c>
      <c r="E144" s="10" t="str">
        <f t="shared" si="4"/>
        <v>2020</v>
      </c>
      <c r="F144" s="10">
        <v>44826</v>
      </c>
      <c r="G144" s="9">
        <v>46</v>
      </c>
      <c r="H144" s="9">
        <v>35</v>
      </c>
      <c r="I144" s="9">
        <v>15</v>
      </c>
      <c r="J144" s="9" t="s">
        <v>19</v>
      </c>
      <c r="K144" s="11" t="s">
        <v>10</v>
      </c>
      <c r="L144" t="str">
        <f t="shared" si="5"/>
        <v>1-3 Years</v>
      </c>
      <c r="P144"/>
      <c r="Q144"/>
      <c r="T144"/>
      <c r="U144"/>
      <c r="Y144"/>
      <c r="Z144"/>
      <c r="AA144"/>
    </row>
    <row r="145" spans="2:27" x14ac:dyDescent="0.3">
      <c r="B14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HCP_AI2020SOUTHEAST462115</v>
      </c>
      <c r="C145" s="9" t="s">
        <v>8</v>
      </c>
      <c r="D145" s="10">
        <v>44151</v>
      </c>
      <c r="E145" s="10" t="str">
        <f t="shared" si="4"/>
        <v>2020</v>
      </c>
      <c r="F145" s="10">
        <v>44662</v>
      </c>
      <c r="G145" s="9">
        <v>46</v>
      </c>
      <c r="H145" s="9">
        <v>21</v>
      </c>
      <c r="I145" s="9">
        <v>15</v>
      </c>
      <c r="J145" s="9" t="s">
        <v>19</v>
      </c>
      <c r="K145" s="11" t="s">
        <v>16</v>
      </c>
      <c r="L145" t="str">
        <f t="shared" si="5"/>
        <v>10+ Years</v>
      </c>
      <c r="P145"/>
      <c r="Q145"/>
      <c r="T145"/>
      <c r="U145"/>
      <c r="Y145"/>
      <c r="Z145"/>
      <c r="AA145"/>
    </row>
    <row r="146" spans="2:27" x14ac:dyDescent="0.3">
      <c r="B14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HCP_AI2020MIDWEST46293</v>
      </c>
      <c r="C146" s="9" t="s">
        <v>8</v>
      </c>
      <c r="D146" s="10">
        <v>44111</v>
      </c>
      <c r="E146" s="10" t="str">
        <f t="shared" si="4"/>
        <v>2020</v>
      </c>
      <c r="F146" s="10">
        <v>44819</v>
      </c>
      <c r="G146" s="9">
        <v>46</v>
      </c>
      <c r="H146" s="9">
        <v>29</v>
      </c>
      <c r="I146" s="9">
        <v>3</v>
      </c>
      <c r="J146" s="9" t="s">
        <v>13</v>
      </c>
      <c r="K146" s="11" t="s">
        <v>10</v>
      </c>
      <c r="L146" t="str">
        <f t="shared" si="5"/>
        <v>10+ Years</v>
      </c>
      <c r="P146"/>
      <c r="Q146"/>
      <c r="T146"/>
      <c r="U146"/>
      <c r="Y146"/>
      <c r="Z146"/>
      <c r="AA146"/>
    </row>
    <row r="147" spans="2:27" x14ac:dyDescent="0.3">
      <c r="B14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HCP_PD2020CENTRAL462420</v>
      </c>
      <c r="C147" s="9" t="s">
        <v>20</v>
      </c>
      <c r="D147" s="10">
        <v>44028</v>
      </c>
      <c r="E147" s="10" t="str">
        <f t="shared" si="4"/>
        <v>2020</v>
      </c>
      <c r="F147" s="10">
        <v>44775</v>
      </c>
      <c r="G147" s="9">
        <v>46</v>
      </c>
      <c r="H147" s="9">
        <v>24</v>
      </c>
      <c r="I147" s="9">
        <v>20</v>
      </c>
      <c r="J147" s="9" t="s">
        <v>14</v>
      </c>
      <c r="K147" s="11" t="s">
        <v>10</v>
      </c>
      <c r="L147" t="str">
        <f t="shared" si="5"/>
        <v>1-3 Years</v>
      </c>
      <c r="P147"/>
      <c r="Q147"/>
      <c r="T147"/>
      <c r="U147"/>
      <c r="Y147"/>
      <c r="Z147"/>
      <c r="AA147"/>
    </row>
    <row r="148" spans="2:27" x14ac:dyDescent="0.3">
      <c r="B14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HCP_AI2020WEST463324</v>
      </c>
      <c r="C148" s="9" t="s">
        <v>8</v>
      </c>
      <c r="D148" s="10">
        <v>44000</v>
      </c>
      <c r="E148" s="10" t="str">
        <f t="shared" si="4"/>
        <v>2020</v>
      </c>
      <c r="F148" s="10">
        <v>44810</v>
      </c>
      <c r="G148" s="9">
        <v>46</v>
      </c>
      <c r="H148" s="9">
        <v>33</v>
      </c>
      <c r="I148" s="9">
        <v>24</v>
      </c>
      <c r="J148" s="9" t="s">
        <v>9</v>
      </c>
      <c r="K148" s="11" t="s">
        <v>10</v>
      </c>
      <c r="L148" t="str">
        <f t="shared" si="5"/>
        <v>10+ Years</v>
      </c>
      <c r="P148"/>
      <c r="Q148"/>
      <c r="T148"/>
      <c r="U148"/>
      <c r="Y148"/>
      <c r="Z148"/>
      <c r="AA148"/>
    </row>
    <row r="149" spans="2:27" x14ac:dyDescent="0.3">
      <c r="B14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HCP_AI2020CENTRAL462826</v>
      </c>
      <c r="C149" s="9" t="s">
        <v>8</v>
      </c>
      <c r="D149" s="10">
        <v>43907</v>
      </c>
      <c r="E149" s="10" t="str">
        <f t="shared" si="4"/>
        <v>2020</v>
      </c>
      <c r="F149" s="10">
        <v>44823</v>
      </c>
      <c r="G149" s="9">
        <v>46</v>
      </c>
      <c r="H149" s="9">
        <v>28</v>
      </c>
      <c r="I149" s="9">
        <v>26</v>
      </c>
      <c r="J149" s="9" t="s">
        <v>14</v>
      </c>
      <c r="K149" s="11" t="s">
        <v>10</v>
      </c>
      <c r="L149" t="str">
        <f t="shared" si="5"/>
        <v>10+ Years</v>
      </c>
      <c r="P149"/>
      <c r="Q149"/>
      <c r="T149"/>
      <c r="U149"/>
      <c r="Y149"/>
      <c r="Z149"/>
      <c r="AA149"/>
    </row>
    <row r="150" spans="2:27" x14ac:dyDescent="0.3">
      <c r="B15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HCP_AI2021MIDWEST45480</v>
      </c>
      <c r="C150" s="9" t="s">
        <v>8</v>
      </c>
      <c r="D150" s="10">
        <v>44264</v>
      </c>
      <c r="E150" s="10" t="str">
        <f t="shared" si="4"/>
        <v>2021</v>
      </c>
      <c r="F150" s="10">
        <v>44823</v>
      </c>
      <c r="G150" s="9">
        <v>45</v>
      </c>
      <c r="H150" s="9">
        <v>48</v>
      </c>
      <c r="I150" s="9">
        <v>0</v>
      </c>
      <c r="J150" s="9" t="s">
        <v>13</v>
      </c>
      <c r="K150" s="11" t="s">
        <v>10</v>
      </c>
      <c r="L150" t="str">
        <f t="shared" si="5"/>
        <v>10+ Years</v>
      </c>
      <c r="P150"/>
      <c r="Q150"/>
      <c r="T150"/>
      <c r="U150"/>
      <c r="Y150"/>
      <c r="Z150"/>
      <c r="AA150"/>
    </row>
    <row r="151" spans="2:27" x14ac:dyDescent="0.3">
      <c r="B15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HCP_AI2021MIDWEST45179</v>
      </c>
      <c r="C151" s="9" t="s">
        <v>8</v>
      </c>
      <c r="D151" s="10">
        <v>44258</v>
      </c>
      <c r="E151" s="10" t="str">
        <f t="shared" si="4"/>
        <v>2021</v>
      </c>
      <c r="F151" s="10">
        <v>44469</v>
      </c>
      <c r="G151" s="9">
        <v>45</v>
      </c>
      <c r="H151" s="9">
        <v>17</v>
      </c>
      <c r="I151" s="9">
        <v>9</v>
      </c>
      <c r="J151" s="9" t="s">
        <v>13</v>
      </c>
      <c r="K151" s="11" t="s">
        <v>16</v>
      </c>
      <c r="L151" t="str">
        <f t="shared" si="5"/>
        <v>0-1 Years</v>
      </c>
      <c r="P151"/>
      <c r="Q151"/>
      <c r="T151"/>
      <c r="U151"/>
      <c r="Y151"/>
      <c r="Z151"/>
      <c r="AA151"/>
    </row>
    <row r="152" spans="2:27" x14ac:dyDescent="0.3">
      <c r="B15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HCP_AI2021WEST452019</v>
      </c>
      <c r="C152" s="9" t="s">
        <v>8</v>
      </c>
      <c r="D152" s="10">
        <v>44221</v>
      </c>
      <c r="E152" s="10" t="str">
        <f t="shared" si="4"/>
        <v>2021</v>
      </c>
      <c r="F152" s="10">
        <v>44819</v>
      </c>
      <c r="G152" s="9">
        <v>45</v>
      </c>
      <c r="H152" s="9">
        <v>20</v>
      </c>
      <c r="I152" s="9">
        <v>19</v>
      </c>
      <c r="J152" s="9" t="s">
        <v>9</v>
      </c>
      <c r="K152" s="11" t="s">
        <v>10</v>
      </c>
      <c r="L152" t="str">
        <f t="shared" si="5"/>
        <v>5-10 Years</v>
      </c>
      <c r="P152"/>
      <c r="Q152"/>
      <c r="T152"/>
      <c r="U152"/>
      <c r="Y152"/>
      <c r="Z152"/>
      <c r="AA152"/>
    </row>
    <row r="153" spans="2:27" x14ac:dyDescent="0.3">
      <c r="B15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HCP_AI2020MIDWEST451025</v>
      </c>
      <c r="C153" s="9" t="s">
        <v>8</v>
      </c>
      <c r="D153" s="10">
        <v>44166</v>
      </c>
      <c r="E153" s="10" t="str">
        <f t="shared" si="4"/>
        <v>2020</v>
      </c>
      <c r="F153" s="10">
        <v>44816</v>
      </c>
      <c r="G153" s="9">
        <v>45</v>
      </c>
      <c r="H153" s="9">
        <v>10</v>
      </c>
      <c r="I153" s="9">
        <v>25</v>
      </c>
      <c r="J153" s="9" t="s">
        <v>13</v>
      </c>
      <c r="K153" s="11" t="s">
        <v>10</v>
      </c>
      <c r="L153" t="str">
        <f t="shared" si="5"/>
        <v>10+ Years</v>
      </c>
      <c r="P153"/>
      <c r="Q153"/>
      <c r="T153"/>
      <c r="U153"/>
      <c r="Y153"/>
      <c r="Z153"/>
      <c r="AA153"/>
    </row>
    <row r="154" spans="2:27" x14ac:dyDescent="0.3">
      <c r="B15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HCP_PDA2020MIDWEST45729</v>
      </c>
      <c r="C154" s="9" t="s">
        <v>17</v>
      </c>
      <c r="D154" s="10">
        <v>43958</v>
      </c>
      <c r="E154" s="10" t="str">
        <f t="shared" si="4"/>
        <v>2020</v>
      </c>
      <c r="F154" s="10">
        <v>44607</v>
      </c>
      <c r="G154" s="9">
        <v>45</v>
      </c>
      <c r="H154" s="9">
        <v>7</v>
      </c>
      <c r="I154" s="9">
        <v>29</v>
      </c>
      <c r="J154" s="9" t="s">
        <v>13</v>
      </c>
      <c r="K154" s="11" t="s">
        <v>16</v>
      </c>
      <c r="L154" t="str">
        <f t="shared" si="5"/>
        <v>10+ Years</v>
      </c>
      <c r="P154"/>
      <c r="Q154"/>
      <c r="T154"/>
      <c r="U154"/>
      <c r="Y154"/>
      <c r="Z154"/>
      <c r="AA154"/>
    </row>
    <row r="155" spans="2:27" x14ac:dyDescent="0.3">
      <c r="B15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HCP_AI2022WEST442820</v>
      </c>
      <c r="C155" s="9" t="s">
        <v>8</v>
      </c>
      <c r="D155" s="10">
        <v>44566</v>
      </c>
      <c r="E155" s="10" t="str">
        <f t="shared" si="4"/>
        <v>2022</v>
      </c>
      <c r="F155" s="10">
        <v>44774</v>
      </c>
      <c r="G155" s="9">
        <v>44</v>
      </c>
      <c r="H155" s="9">
        <v>28</v>
      </c>
      <c r="I155" s="9">
        <v>20</v>
      </c>
      <c r="J155" s="9" t="s">
        <v>9</v>
      </c>
      <c r="K155" s="11" t="s">
        <v>10</v>
      </c>
      <c r="L155" t="str">
        <f t="shared" si="5"/>
        <v>10+ Years</v>
      </c>
      <c r="P155"/>
      <c r="Q155"/>
      <c r="T155"/>
      <c r="U155"/>
      <c r="Y155"/>
      <c r="Z155"/>
      <c r="AA155"/>
    </row>
    <row r="156" spans="2:27" x14ac:dyDescent="0.3">
      <c r="B15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HCP_AI2021SOUTHEAST44416</v>
      </c>
      <c r="C156" s="9" t="s">
        <v>8</v>
      </c>
      <c r="D156" s="10">
        <v>44558</v>
      </c>
      <c r="E156" s="10" t="str">
        <f t="shared" si="4"/>
        <v>2021</v>
      </c>
      <c r="F156" s="10">
        <v>44754</v>
      </c>
      <c r="G156" s="9">
        <v>44</v>
      </c>
      <c r="H156" s="9">
        <v>4</v>
      </c>
      <c r="I156" s="9">
        <v>16</v>
      </c>
      <c r="J156" s="9" t="s">
        <v>19</v>
      </c>
      <c r="K156" s="11" t="s">
        <v>10</v>
      </c>
      <c r="L156" t="str">
        <f t="shared" si="5"/>
        <v>10+ Years</v>
      </c>
      <c r="P156"/>
      <c r="Q156"/>
      <c r="T156"/>
      <c r="U156"/>
      <c r="Y156"/>
      <c r="Z156"/>
      <c r="AA156"/>
    </row>
    <row r="157" spans="2:27" x14ac:dyDescent="0.3">
      <c r="B15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HCP_AI2021MIDWEST444529</v>
      </c>
      <c r="C157" s="9" t="s">
        <v>8</v>
      </c>
      <c r="D157" s="10">
        <v>44266</v>
      </c>
      <c r="E157" s="10" t="str">
        <f t="shared" si="4"/>
        <v>2021</v>
      </c>
      <c r="F157" s="10">
        <v>44804</v>
      </c>
      <c r="G157" s="9">
        <v>44</v>
      </c>
      <c r="H157" s="9">
        <v>45</v>
      </c>
      <c r="I157" s="9">
        <v>29</v>
      </c>
      <c r="J157" s="9" t="s">
        <v>13</v>
      </c>
      <c r="K157" s="11" t="s">
        <v>10</v>
      </c>
      <c r="L157" t="str">
        <f t="shared" si="5"/>
        <v>10+ Years</v>
      </c>
      <c r="P157"/>
      <c r="Q157"/>
      <c r="T157"/>
      <c r="U157"/>
      <c r="Y157"/>
      <c r="Z157"/>
      <c r="AA157"/>
    </row>
    <row r="158" spans="2:27" x14ac:dyDescent="0.3">
      <c r="B15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HCP_AI2021NORTHEAST44108</v>
      </c>
      <c r="C158" s="9" t="s">
        <v>8</v>
      </c>
      <c r="D158" s="10">
        <v>44216</v>
      </c>
      <c r="E158" s="10" t="str">
        <f t="shared" si="4"/>
        <v>2021</v>
      </c>
      <c r="F158" s="10">
        <v>44826</v>
      </c>
      <c r="G158" s="9">
        <v>44</v>
      </c>
      <c r="H158" s="9">
        <v>10</v>
      </c>
      <c r="I158" s="9">
        <v>8</v>
      </c>
      <c r="J158" s="9" t="s">
        <v>15</v>
      </c>
      <c r="K158" s="11" t="s">
        <v>10</v>
      </c>
      <c r="L158" t="str">
        <f t="shared" si="5"/>
        <v>10+ Years</v>
      </c>
      <c r="P158"/>
      <c r="Q158"/>
      <c r="T158"/>
      <c r="U158"/>
      <c r="Y158"/>
      <c r="Z158"/>
      <c r="AA158"/>
    </row>
    <row r="159" spans="2:27" x14ac:dyDescent="0.3">
      <c r="B15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HCP_AI2021WEST441520</v>
      </c>
      <c r="C159" s="9" t="s">
        <v>8</v>
      </c>
      <c r="D159" s="10">
        <v>44202</v>
      </c>
      <c r="E159" s="10" t="str">
        <f t="shared" si="4"/>
        <v>2021</v>
      </c>
      <c r="F159" s="10">
        <v>44522</v>
      </c>
      <c r="G159" s="9">
        <v>44</v>
      </c>
      <c r="H159" s="9">
        <v>15</v>
      </c>
      <c r="I159" s="9">
        <v>20</v>
      </c>
      <c r="J159" s="9" t="s">
        <v>9</v>
      </c>
      <c r="K159" s="11" t="s">
        <v>16</v>
      </c>
      <c r="L159" t="str">
        <f t="shared" si="5"/>
        <v>5-10 Years</v>
      </c>
      <c r="P159"/>
      <c r="Q159"/>
      <c r="T159"/>
      <c r="U159"/>
      <c r="Y159"/>
      <c r="Z159"/>
      <c r="AA159"/>
    </row>
    <row r="160" spans="2:27" x14ac:dyDescent="0.3">
      <c r="B16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HCP_AI2020WEST44193</v>
      </c>
      <c r="C160" s="9" t="s">
        <v>8</v>
      </c>
      <c r="D160" s="10">
        <v>44035</v>
      </c>
      <c r="E160" s="10" t="str">
        <f t="shared" si="4"/>
        <v>2020</v>
      </c>
      <c r="F160" s="10">
        <v>44823</v>
      </c>
      <c r="G160" s="9">
        <v>44</v>
      </c>
      <c r="H160" s="9">
        <v>19</v>
      </c>
      <c r="I160" s="9">
        <v>3</v>
      </c>
      <c r="J160" s="9" t="s">
        <v>9</v>
      </c>
      <c r="K160" s="11" t="s">
        <v>10</v>
      </c>
      <c r="L160" t="str">
        <f t="shared" si="5"/>
        <v>10+ Years</v>
      </c>
      <c r="P160"/>
      <c r="Q160"/>
      <c r="T160"/>
      <c r="U160"/>
      <c r="Y160"/>
      <c r="Z160"/>
      <c r="AA160"/>
    </row>
    <row r="161" spans="2:27" x14ac:dyDescent="0.3">
      <c r="B161" s="8" t="str">
        <f>"HCP_"&amp;Table1[[#This Row],[Specialty]]&amp;Table1[[#This Row],[Rx_Start_Year]]&amp;Table1[[#This Row],[Area Name]]&amp;Table1[[#This Row],[Enrollments]]&amp;Table1[[#This Row],[NPS]]&amp;Table1[[#This Row],[Discontinuations]]</f>
        <v>HCP_PUD2021MIDWEST44017</v>
      </c>
      <c r="C161" s="9" t="s">
        <v>30</v>
      </c>
      <c r="D161" s="10">
        <v>44245</v>
      </c>
      <c r="E161" s="10" t="str">
        <f t="shared" si="4"/>
        <v>2021</v>
      </c>
      <c r="F161" s="10">
        <v>44826</v>
      </c>
      <c r="G161" s="9">
        <v>44</v>
      </c>
      <c r="H161" s="9">
        <v>0</v>
      </c>
      <c r="I161" s="9">
        <v>17</v>
      </c>
      <c r="J161" s="9" t="s">
        <v>13</v>
      </c>
      <c r="K161" s="11" t="s">
        <v>10</v>
      </c>
      <c r="L161" t="str">
        <f t="shared" si="5"/>
        <v>1-3 Years</v>
      </c>
      <c r="P161"/>
      <c r="Q161"/>
      <c r="T161"/>
      <c r="U161"/>
      <c r="Y161"/>
      <c r="Z161"/>
      <c r="AA161"/>
    </row>
    <row r="162" spans="2:27" x14ac:dyDescent="0.3">
      <c r="B16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HCP_AI2020SOUTHEAST44306</v>
      </c>
      <c r="C162" s="9" t="s">
        <v>8</v>
      </c>
      <c r="D162" s="10">
        <v>43990</v>
      </c>
      <c r="E162" s="10" t="str">
        <f t="shared" si="4"/>
        <v>2020</v>
      </c>
      <c r="F162" s="10">
        <v>44824</v>
      </c>
      <c r="G162" s="9">
        <v>44</v>
      </c>
      <c r="H162" s="9">
        <v>30</v>
      </c>
      <c r="I162" s="9">
        <v>6</v>
      </c>
      <c r="J162" s="9" t="s">
        <v>19</v>
      </c>
      <c r="K162" s="11" t="s">
        <v>10</v>
      </c>
      <c r="L162" t="str">
        <f t="shared" si="5"/>
        <v>10+ Years</v>
      </c>
      <c r="P162"/>
      <c r="Q162"/>
      <c r="T162"/>
      <c r="U162"/>
      <c r="Y162"/>
      <c r="Z162"/>
      <c r="AA162"/>
    </row>
    <row r="163" spans="2:27" x14ac:dyDescent="0.3">
      <c r="B16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HCP_PDA2022MIDWEST43308</v>
      </c>
      <c r="C163" s="9" t="s">
        <v>17</v>
      </c>
      <c r="D163" s="10">
        <v>44570</v>
      </c>
      <c r="E163" s="10" t="str">
        <f t="shared" si="4"/>
        <v>2022</v>
      </c>
      <c r="F163" s="10">
        <v>44763</v>
      </c>
      <c r="G163" s="9">
        <v>43</v>
      </c>
      <c r="H163" s="9">
        <v>30</v>
      </c>
      <c r="I163" s="9">
        <v>8</v>
      </c>
      <c r="J163" s="9" t="s">
        <v>13</v>
      </c>
      <c r="K163" s="11" t="s">
        <v>10</v>
      </c>
      <c r="L163" t="str">
        <f t="shared" si="5"/>
        <v>5-10 Years</v>
      </c>
      <c r="P163"/>
      <c r="Q163"/>
      <c r="T163"/>
      <c r="U163"/>
      <c r="Y163"/>
      <c r="Z163"/>
      <c r="AA163"/>
    </row>
    <row r="164" spans="2:27" x14ac:dyDescent="0.3">
      <c r="B16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HCP_AI2021NORTHEAST432618</v>
      </c>
      <c r="C164" s="9" t="s">
        <v>8</v>
      </c>
      <c r="D164" s="10">
        <v>44502</v>
      </c>
      <c r="E164" s="10" t="str">
        <f t="shared" si="4"/>
        <v>2021</v>
      </c>
      <c r="F164" s="10">
        <v>44825</v>
      </c>
      <c r="G164" s="9">
        <v>43</v>
      </c>
      <c r="H164" s="9">
        <v>26</v>
      </c>
      <c r="I164" s="9">
        <v>18</v>
      </c>
      <c r="J164" s="9" t="s">
        <v>15</v>
      </c>
      <c r="K164" s="11" t="s">
        <v>10</v>
      </c>
      <c r="L164" t="str">
        <f t="shared" si="5"/>
        <v>5-10 Years</v>
      </c>
      <c r="P164"/>
      <c r="Q164"/>
      <c r="T164"/>
      <c r="U164"/>
      <c r="Y164"/>
      <c r="Z164"/>
      <c r="AA164"/>
    </row>
    <row r="165" spans="2:27" x14ac:dyDescent="0.3">
      <c r="B16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HCP_AI2021MIDWEST43324</v>
      </c>
      <c r="C165" s="9" t="s">
        <v>8</v>
      </c>
      <c r="D165" s="10">
        <v>44410</v>
      </c>
      <c r="E165" s="10" t="str">
        <f t="shared" si="4"/>
        <v>2021</v>
      </c>
      <c r="F165" s="10">
        <v>44728</v>
      </c>
      <c r="G165" s="9">
        <v>43</v>
      </c>
      <c r="H165" s="9">
        <v>3</v>
      </c>
      <c r="I165" s="9">
        <v>24</v>
      </c>
      <c r="J165" s="9" t="s">
        <v>13</v>
      </c>
      <c r="K165" s="11" t="s">
        <v>16</v>
      </c>
      <c r="L165" t="str">
        <f t="shared" si="5"/>
        <v>10+ Years</v>
      </c>
      <c r="P165"/>
      <c r="Q165"/>
      <c r="T165"/>
      <c r="U165"/>
      <c r="Y165"/>
      <c r="Z165"/>
      <c r="AA165"/>
    </row>
    <row r="166" spans="2:27" x14ac:dyDescent="0.3">
      <c r="B166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HCP_FM2020CENTRAL43373</v>
      </c>
      <c r="C166" s="9" t="s">
        <v>18</v>
      </c>
      <c r="D166" s="10">
        <v>44140</v>
      </c>
      <c r="E166" s="10" t="str">
        <f t="shared" si="4"/>
        <v>2020</v>
      </c>
      <c r="F166" s="10">
        <v>44376</v>
      </c>
      <c r="G166" s="9">
        <v>43</v>
      </c>
      <c r="H166" s="9">
        <v>37</v>
      </c>
      <c r="I166" s="9">
        <v>3</v>
      </c>
      <c r="J166" s="9" t="s">
        <v>14</v>
      </c>
      <c r="K166" s="11" t="s">
        <v>16</v>
      </c>
      <c r="L166" t="str">
        <f t="shared" si="5"/>
        <v>10+ Years</v>
      </c>
      <c r="P166"/>
      <c r="Q166"/>
      <c r="T166"/>
      <c r="U166"/>
      <c r="Y166"/>
      <c r="Z166"/>
      <c r="AA166"/>
    </row>
    <row r="167" spans="2:27" x14ac:dyDescent="0.3">
      <c r="B16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HCP_AI2020WEST43126</v>
      </c>
      <c r="C167" s="9" t="s">
        <v>8</v>
      </c>
      <c r="D167" s="10">
        <v>44098</v>
      </c>
      <c r="E167" s="10" t="str">
        <f t="shared" si="4"/>
        <v>2020</v>
      </c>
      <c r="F167" s="10">
        <v>44098</v>
      </c>
      <c r="G167" s="9">
        <v>43</v>
      </c>
      <c r="H167" s="9">
        <v>12</v>
      </c>
      <c r="I167" s="9">
        <v>6</v>
      </c>
      <c r="J167" s="9" t="s">
        <v>9</v>
      </c>
      <c r="K167" s="11" t="s">
        <v>16</v>
      </c>
      <c r="L167" t="str">
        <f t="shared" si="5"/>
        <v>1-3 Years</v>
      </c>
      <c r="P167"/>
      <c r="Q167"/>
      <c r="T167"/>
      <c r="U167"/>
      <c r="Y167"/>
      <c r="Z167"/>
      <c r="AA167"/>
    </row>
    <row r="168" spans="2:27" x14ac:dyDescent="0.3">
      <c r="B16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HCP_AI2020SOUTHEAST431412</v>
      </c>
      <c r="C168" s="9" t="s">
        <v>8</v>
      </c>
      <c r="D168" s="10">
        <v>44097</v>
      </c>
      <c r="E168" s="10" t="str">
        <f t="shared" si="4"/>
        <v>2020</v>
      </c>
      <c r="F168" s="10">
        <v>44824</v>
      </c>
      <c r="G168" s="9">
        <v>43</v>
      </c>
      <c r="H168" s="9">
        <v>14</v>
      </c>
      <c r="I168" s="9">
        <v>12</v>
      </c>
      <c r="J168" s="9" t="s">
        <v>19</v>
      </c>
      <c r="K168" s="11" t="s">
        <v>10</v>
      </c>
      <c r="L168" t="str">
        <f t="shared" si="5"/>
        <v>5-10 Years</v>
      </c>
      <c r="P168"/>
      <c r="Q168"/>
      <c r="T168"/>
      <c r="U168"/>
      <c r="Y168"/>
      <c r="Z168"/>
      <c r="AA168"/>
    </row>
    <row r="169" spans="2:27" x14ac:dyDescent="0.3">
      <c r="B16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HCP_AI2020CENTRAL433320</v>
      </c>
      <c r="C169" s="9" t="s">
        <v>8</v>
      </c>
      <c r="D169" s="10">
        <v>44042</v>
      </c>
      <c r="E169" s="10" t="str">
        <f t="shared" si="4"/>
        <v>2020</v>
      </c>
      <c r="F169" s="10">
        <v>44825</v>
      </c>
      <c r="G169" s="9">
        <v>43</v>
      </c>
      <c r="H169" s="9">
        <v>33</v>
      </c>
      <c r="I169" s="9">
        <v>20</v>
      </c>
      <c r="J169" s="9" t="s">
        <v>14</v>
      </c>
      <c r="K169" s="11" t="s">
        <v>10</v>
      </c>
      <c r="L169" t="str">
        <f t="shared" si="5"/>
        <v>10+ Years</v>
      </c>
      <c r="P169"/>
      <c r="Q169"/>
      <c r="T169"/>
      <c r="U169"/>
      <c r="Y169"/>
      <c r="Z169"/>
      <c r="AA169"/>
    </row>
    <row r="170" spans="2:27" x14ac:dyDescent="0.3">
      <c r="B17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HCP_AI2020MIDWEST432423</v>
      </c>
      <c r="C170" s="9" t="s">
        <v>8</v>
      </c>
      <c r="D170" s="10">
        <v>44021</v>
      </c>
      <c r="E170" s="10" t="str">
        <f t="shared" si="4"/>
        <v>2020</v>
      </c>
      <c r="F170" s="10">
        <v>44796</v>
      </c>
      <c r="G170" s="9">
        <v>43</v>
      </c>
      <c r="H170" s="9">
        <v>24</v>
      </c>
      <c r="I170" s="9">
        <v>23</v>
      </c>
      <c r="J170" s="9" t="s">
        <v>13</v>
      </c>
      <c r="K170" s="11" t="s">
        <v>10</v>
      </c>
      <c r="L170" t="str">
        <f t="shared" si="5"/>
        <v>10+ Years</v>
      </c>
      <c r="P170"/>
      <c r="Q170"/>
      <c r="T170"/>
      <c r="U170"/>
      <c r="Y170"/>
      <c r="Z170"/>
      <c r="AA170"/>
    </row>
    <row r="171" spans="2:27" x14ac:dyDescent="0.3">
      <c r="B17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HCP_AI2021SOUTHEAST432829</v>
      </c>
      <c r="C171" s="9" t="s">
        <v>8</v>
      </c>
      <c r="D171" s="10">
        <v>44236</v>
      </c>
      <c r="E171" s="10" t="str">
        <f t="shared" si="4"/>
        <v>2021</v>
      </c>
      <c r="F171" s="10">
        <v>44826</v>
      </c>
      <c r="G171" s="9">
        <v>43</v>
      </c>
      <c r="H171" s="9">
        <v>28</v>
      </c>
      <c r="I171" s="9">
        <v>29</v>
      </c>
      <c r="J171" s="9" t="s">
        <v>19</v>
      </c>
      <c r="K171" s="11" t="s">
        <v>10</v>
      </c>
      <c r="L171" t="str">
        <f t="shared" si="5"/>
        <v>10+ Years</v>
      </c>
      <c r="P171"/>
      <c r="Q171"/>
      <c r="T171"/>
      <c r="U171"/>
      <c r="Y171"/>
      <c r="Z171"/>
      <c r="AA171"/>
    </row>
    <row r="172" spans="2:27" x14ac:dyDescent="0.3">
      <c r="B17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HCP_AI2020NORTHEAST421311</v>
      </c>
      <c r="C172" s="9" t="s">
        <v>8</v>
      </c>
      <c r="D172" s="10">
        <v>44081</v>
      </c>
      <c r="E172" s="10" t="str">
        <f t="shared" si="4"/>
        <v>2020</v>
      </c>
      <c r="F172" s="10">
        <v>44826</v>
      </c>
      <c r="G172" s="9">
        <v>42</v>
      </c>
      <c r="H172" s="9">
        <v>13</v>
      </c>
      <c r="I172" s="9">
        <v>11</v>
      </c>
      <c r="J172" s="9" t="s">
        <v>15</v>
      </c>
      <c r="K172" s="11" t="s">
        <v>10</v>
      </c>
      <c r="L172" t="str">
        <f t="shared" si="5"/>
        <v>10+ Years</v>
      </c>
      <c r="P172"/>
      <c r="Q172"/>
      <c r="T172"/>
      <c r="U172"/>
      <c r="Y172"/>
      <c r="Z172"/>
      <c r="AA172"/>
    </row>
    <row r="173" spans="2:27" x14ac:dyDescent="0.3">
      <c r="B17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HCP_AI2020WEST42813</v>
      </c>
      <c r="C173" s="9" t="s">
        <v>8</v>
      </c>
      <c r="D173" s="10">
        <v>44097</v>
      </c>
      <c r="E173" s="10" t="str">
        <f t="shared" si="4"/>
        <v>2020</v>
      </c>
      <c r="F173" s="10">
        <v>44826</v>
      </c>
      <c r="G173" s="9">
        <v>42</v>
      </c>
      <c r="H173" s="9">
        <v>8</v>
      </c>
      <c r="I173" s="9">
        <v>13</v>
      </c>
      <c r="J173" s="9" t="s">
        <v>9</v>
      </c>
      <c r="K173" s="11" t="s">
        <v>10</v>
      </c>
      <c r="L173" t="str">
        <f t="shared" si="5"/>
        <v>10+ Years</v>
      </c>
      <c r="P173"/>
      <c r="Q173"/>
      <c r="T173"/>
      <c r="U173"/>
      <c r="Y173"/>
      <c r="Z173"/>
      <c r="AA173"/>
    </row>
    <row r="174" spans="2:27" x14ac:dyDescent="0.3">
      <c r="B174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HCP_A2020MIDWEST423316</v>
      </c>
      <c r="C174" s="9" t="s">
        <v>12</v>
      </c>
      <c r="D174" s="10">
        <v>44095</v>
      </c>
      <c r="E174" s="10" t="str">
        <f t="shared" si="4"/>
        <v>2020</v>
      </c>
      <c r="F174" s="10">
        <v>44811</v>
      </c>
      <c r="G174" s="9">
        <v>42</v>
      </c>
      <c r="H174" s="9">
        <v>33</v>
      </c>
      <c r="I174" s="9">
        <v>16</v>
      </c>
      <c r="J174" s="9" t="s">
        <v>13</v>
      </c>
      <c r="K174" s="11" t="s">
        <v>10</v>
      </c>
      <c r="L174" t="str">
        <f t="shared" si="5"/>
        <v>10+ Years</v>
      </c>
      <c r="P174"/>
      <c r="Q174"/>
      <c r="T174"/>
      <c r="U174"/>
      <c r="Y174"/>
      <c r="Z174"/>
      <c r="AA174"/>
    </row>
    <row r="175" spans="2:27" x14ac:dyDescent="0.3">
      <c r="B17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HCP_AI2020CENTRAL421814</v>
      </c>
      <c r="C175" s="9" t="s">
        <v>8</v>
      </c>
      <c r="D175" s="10">
        <v>44082</v>
      </c>
      <c r="E175" s="10" t="str">
        <f t="shared" si="4"/>
        <v>2020</v>
      </c>
      <c r="F175" s="10">
        <v>44804</v>
      </c>
      <c r="G175" s="9">
        <v>42</v>
      </c>
      <c r="H175" s="9">
        <v>18</v>
      </c>
      <c r="I175" s="9">
        <v>14</v>
      </c>
      <c r="J175" s="9" t="s">
        <v>14</v>
      </c>
      <c r="K175" s="11" t="s">
        <v>10</v>
      </c>
      <c r="L175" t="str">
        <f t="shared" si="5"/>
        <v>10+ Years</v>
      </c>
      <c r="P175"/>
      <c r="Q175"/>
      <c r="T175"/>
      <c r="U175"/>
      <c r="Y175"/>
      <c r="Z175"/>
      <c r="AA175"/>
    </row>
    <row r="176" spans="2:27" x14ac:dyDescent="0.3">
      <c r="B176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HCP_A2022MIDWEST41357</v>
      </c>
      <c r="C176" s="9" t="s">
        <v>12</v>
      </c>
      <c r="D176" s="10">
        <v>44614</v>
      </c>
      <c r="E176" s="10" t="str">
        <f t="shared" si="4"/>
        <v>2022</v>
      </c>
      <c r="F176" s="10">
        <v>44825</v>
      </c>
      <c r="G176" s="9">
        <v>41</v>
      </c>
      <c r="H176" s="9">
        <v>35</v>
      </c>
      <c r="I176" s="9">
        <v>7</v>
      </c>
      <c r="J176" s="9" t="s">
        <v>13</v>
      </c>
      <c r="K176" s="11" t="s">
        <v>10</v>
      </c>
      <c r="L176" t="str">
        <f t="shared" si="5"/>
        <v>10+ Years</v>
      </c>
      <c r="P176"/>
      <c r="Q176"/>
      <c r="T176"/>
      <c r="U176"/>
      <c r="Y176"/>
      <c r="Z176"/>
      <c r="AA176"/>
    </row>
    <row r="177" spans="2:27" x14ac:dyDescent="0.3">
      <c r="B17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HCP_AI2021SOUTHEAST41615</v>
      </c>
      <c r="C177" s="9" t="s">
        <v>8</v>
      </c>
      <c r="D177" s="10">
        <v>44559</v>
      </c>
      <c r="E177" s="10" t="str">
        <f t="shared" si="4"/>
        <v>2021</v>
      </c>
      <c r="F177" s="10">
        <v>44734</v>
      </c>
      <c r="G177" s="9">
        <v>41</v>
      </c>
      <c r="H177" s="9">
        <v>6</v>
      </c>
      <c r="I177" s="9">
        <v>15</v>
      </c>
      <c r="J177" s="9" t="s">
        <v>19</v>
      </c>
      <c r="K177" s="11" t="s">
        <v>16</v>
      </c>
      <c r="L177" t="str">
        <f t="shared" si="5"/>
        <v>5-10 Years</v>
      </c>
      <c r="P177"/>
      <c r="Q177"/>
      <c r="T177"/>
      <c r="U177"/>
      <c r="Y177"/>
      <c r="Z177"/>
      <c r="AA177"/>
    </row>
    <row r="178" spans="2:27" x14ac:dyDescent="0.3">
      <c r="B178" s="8" t="str">
        <f>"HCP_"&amp;Table1[[#This Row],[Specialty]]&amp;Table1[[#This Row],[Rx_Start_Year]]&amp;Table1[[#This Row],[Area Name]]&amp;Table1[[#This Row],[Enrollments]]&amp;Table1[[#This Row],[NPS]]&amp;Table1[[#This Row],[Discontinuations]]</f>
        <v>HCP_OTO2021CENTRAL41289</v>
      </c>
      <c r="C178" s="9" t="s">
        <v>21</v>
      </c>
      <c r="D178" s="10">
        <v>44503</v>
      </c>
      <c r="E178" s="10" t="str">
        <f t="shared" si="4"/>
        <v>2021</v>
      </c>
      <c r="F178" s="10">
        <v>44622</v>
      </c>
      <c r="G178" s="9">
        <v>41</v>
      </c>
      <c r="H178" s="9">
        <v>28</v>
      </c>
      <c r="I178" s="9">
        <v>9</v>
      </c>
      <c r="J178" s="9" t="s">
        <v>14</v>
      </c>
      <c r="K178" s="11" t="s">
        <v>16</v>
      </c>
      <c r="L178" t="str">
        <f t="shared" si="5"/>
        <v>10+ Years</v>
      </c>
      <c r="P178"/>
      <c r="Q178"/>
      <c r="T178"/>
      <c r="U178"/>
      <c r="Y178"/>
      <c r="Z178"/>
      <c r="AA178"/>
    </row>
    <row r="179" spans="2:27" x14ac:dyDescent="0.3">
      <c r="B17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HCP_AI2021SOUTHEAST412514</v>
      </c>
      <c r="C179" s="9" t="s">
        <v>8</v>
      </c>
      <c r="D179" s="10">
        <v>44406</v>
      </c>
      <c r="E179" s="10" t="str">
        <f t="shared" si="4"/>
        <v>2021</v>
      </c>
      <c r="F179" s="10">
        <v>44494</v>
      </c>
      <c r="G179" s="9">
        <v>41</v>
      </c>
      <c r="H179" s="9">
        <v>25</v>
      </c>
      <c r="I179" s="9">
        <v>14</v>
      </c>
      <c r="J179" s="9" t="s">
        <v>19</v>
      </c>
      <c r="K179" s="11" t="s">
        <v>16</v>
      </c>
      <c r="L179" t="str">
        <f t="shared" si="5"/>
        <v>5-10 Years</v>
      </c>
      <c r="P179"/>
      <c r="Q179"/>
      <c r="T179"/>
      <c r="U179"/>
      <c r="Y179"/>
      <c r="Z179"/>
      <c r="AA179"/>
    </row>
    <row r="180" spans="2:27" x14ac:dyDescent="0.3">
      <c r="B180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HCP_FM2021MIDWEST41213</v>
      </c>
      <c r="C180" s="9" t="s">
        <v>18</v>
      </c>
      <c r="D180" s="10">
        <v>44264</v>
      </c>
      <c r="E180" s="10" t="str">
        <f t="shared" si="4"/>
        <v>2021</v>
      </c>
      <c r="F180" s="10">
        <v>44804</v>
      </c>
      <c r="G180" s="9">
        <v>41</v>
      </c>
      <c r="H180" s="9">
        <v>21</v>
      </c>
      <c r="I180" s="9">
        <v>3</v>
      </c>
      <c r="J180" s="9" t="s">
        <v>13</v>
      </c>
      <c r="K180" s="11" t="s">
        <v>10</v>
      </c>
      <c r="L180" t="str">
        <f t="shared" si="5"/>
        <v>10+ Years</v>
      </c>
      <c r="P180"/>
      <c r="Q180"/>
      <c r="T180"/>
      <c r="U180"/>
      <c r="Y180"/>
      <c r="Z180"/>
      <c r="AA180"/>
    </row>
    <row r="181" spans="2:27" x14ac:dyDescent="0.3">
      <c r="B18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HCP_AI2021CENTRAL41478</v>
      </c>
      <c r="C181" s="9" t="s">
        <v>8</v>
      </c>
      <c r="D181" s="10">
        <v>44221</v>
      </c>
      <c r="E181" s="10" t="str">
        <f t="shared" si="4"/>
        <v>2021</v>
      </c>
      <c r="F181" s="10">
        <v>44826</v>
      </c>
      <c r="G181" s="9">
        <v>41</v>
      </c>
      <c r="H181" s="9">
        <v>47</v>
      </c>
      <c r="I181" s="9">
        <v>8</v>
      </c>
      <c r="J181" s="9" t="s">
        <v>14</v>
      </c>
      <c r="K181" s="11" t="s">
        <v>10</v>
      </c>
      <c r="L181" t="str">
        <f t="shared" si="5"/>
        <v>1-3 Years</v>
      </c>
      <c r="P181"/>
      <c r="Q181"/>
      <c r="T181"/>
      <c r="U181"/>
      <c r="Y181"/>
      <c r="Z181"/>
      <c r="AA181"/>
    </row>
    <row r="182" spans="2:27" x14ac:dyDescent="0.3">
      <c r="B18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HCP_AI2020WEST4121</v>
      </c>
      <c r="C182" s="9" t="s">
        <v>8</v>
      </c>
      <c r="D182" s="10">
        <v>44193</v>
      </c>
      <c r="E182" s="10" t="str">
        <f t="shared" si="4"/>
        <v>2020</v>
      </c>
      <c r="F182" s="10">
        <v>44819</v>
      </c>
      <c r="G182" s="9">
        <v>41</v>
      </c>
      <c r="H182" s="9">
        <v>2</v>
      </c>
      <c r="I182" s="9">
        <v>1</v>
      </c>
      <c r="J182" s="9" t="s">
        <v>9</v>
      </c>
      <c r="K182" s="11" t="s">
        <v>10</v>
      </c>
      <c r="L182" t="str">
        <f t="shared" si="5"/>
        <v>5-10 Years</v>
      </c>
      <c r="P182"/>
      <c r="Q182"/>
      <c r="T182"/>
      <c r="U182"/>
      <c r="Y182"/>
      <c r="Z182"/>
      <c r="AA182"/>
    </row>
    <row r="183" spans="2:27" x14ac:dyDescent="0.3">
      <c r="B18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HCP_PD2020NORTHEAST411325</v>
      </c>
      <c r="C183" s="9" t="s">
        <v>20</v>
      </c>
      <c r="D183" s="10">
        <v>44145</v>
      </c>
      <c r="E183" s="10" t="str">
        <f t="shared" si="4"/>
        <v>2020</v>
      </c>
      <c r="F183" s="10">
        <v>44825</v>
      </c>
      <c r="G183" s="9">
        <v>41</v>
      </c>
      <c r="H183" s="9">
        <v>13</v>
      </c>
      <c r="I183" s="9">
        <v>25</v>
      </c>
      <c r="J183" s="9" t="s">
        <v>15</v>
      </c>
      <c r="K183" s="11" t="s">
        <v>10</v>
      </c>
      <c r="L183" t="str">
        <f t="shared" si="5"/>
        <v>0-1 Years</v>
      </c>
      <c r="P183"/>
      <c r="Q183"/>
      <c r="T183"/>
      <c r="U183"/>
      <c r="Y183"/>
      <c r="Z183"/>
      <c r="AA183"/>
    </row>
    <row r="184" spans="2:27" x14ac:dyDescent="0.3">
      <c r="B18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HCP_AI2020MIDWEST411028</v>
      </c>
      <c r="C184" s="9" t="s">
        <v>8</v>
      </c>
      <c r="D184" s="10">
        <v>44033</v>
      </c>
      <c r="E184" s="10" t="str">
        <f t="shared" si="4"/>
        <v>2020</v>
      </c>
      <c r="F184" s="10">
        <v>44270</v>
      </c>
      <c r="G184" s="9">
        <v>41</v>
      </c>
      <c r="H184" s="9">
        <v>10</v>
      </c>
      <c r="I184" s="9">
        <v>28</v>
      </c>
      <c r="J184" s="9" t="s">
        <v>13</v>
      </c>
      <c r="K184" s="11" t="s">
        <v>16</v>
      </c>
      <c r="L184" t="str">
        <f t="shared" si="5"/>
        <v>10+ Years</v>
      </c>
      <c r="P184"/>
      <c r="Q184"/>
      <c r="T184"/>
      <c r="U184"/>
      <c r="Y184"/>
      <c r="Z184"/>
      <c r="AA184"/>
    </row>
    <row r="185" spans="2:27" x14ac:dyDescent="0.3">
      <c r="B18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HCP_AI2021NORTHEAST402319</v>
      </c>
      <c r="C185" s="9" t="s">
        <v>8</v>
      </c>
      <c r="D185" s="10">
        <v>44482</v>
      </c>
      <c r="E185" s="10" t="str">
        <f t="shared" si="4"/>
        <v>2021</v>
      </c>
      <c r="F185" s="10">
        <v>44652</v>
      </c>
      <c r="G185" s="9">
        <v>40</v>
      </c>
      <c r="H185" s="9">
        <v>23</v>
      </c>
      <c r="I185" s="9">
        <v>19</v>
      </c>
      <c r="J185" s="9" t="s">
        <v>15</v>
      </c>
      <c r="K185" s="11" t="s">
        <v>16</v>
      </c>
      <c r="L185" t="str">
        <f t="shared" si="5"/>
        <v>10+ Years</v>
      </c>
      <c r="P185"/>
      <c r="Q185"/>
      <c r="T185"/>
      <c r="U185"/>
      <c r="Y185"/>
      <c r="Z185"/>
      <c r="AA185"/>
    </row>
    <row r="186" spans="2:27" x14ac:dyDescent="0.3">
      <c r="B18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HCP_AI2021CENTRAL402417</v>
      </c>
      <c r="C186" s="9" t="s">
        <v>8</v>
      </c>
      <c r="D186" s="10">
        <v>44481</v>
      </c>
      <c r="E186" s="10" t="str">
        <f t="shared" si="4"/>
        <v>2021</v>
      </c>
      <c r="F186" s="10">
        <v>44748</v>
      </c>
      <c r="G186" s="9">
        <v>40</v>
      </c>
      <c r="H186" s="9">
        <v>24</v>
      </c>
      <c r="I186" s="9">
        <v>17</v>
      </c>
      <c r="J186" s="9" t="s">
        <v>14</v>
      </c>
      <c r="K186" s="11" t="s">
        <v>10</v>
      </c>
      <c r="L186" t="str">
        <f t="shared" si="5"/>
        <v>10+ Years</v>
      </c>
      <c r="P186"/>
      <c r="Q186"/>
      <c r="T186"/>
      <c r="U186"/>
      <c r="Y186"/>
      <c r="Z186"/>
      <c r="AA186"/>
    </row>
    <row r="187" spans="2:27" x14ac:dyDescent="0.3">
      <c r="B18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HCP_AI2021SOUTHEAST4080</v>
      </c>
      <c r="C187" s="9" t="s">
        <v>8</v>
      </c>
      <c r="D187" s="10">
        <v>44252</v>
      </c>
      <c r="E187" s="10" t="str">
        <f t="shared" si="4"/>
        <v>2021</v>
      </c>
      <c r="F187" s="10">
        <v>44749</v>
      </c>
      <c r="G187" s="9">
        <v>40</v>
      </c>
      <c r="H187" s="9">
        <v>8</v>
      </c>
      <c r="I187" s="9">
        <v>0</v>
      </c>
      <c r="J187" s="9" t="s">
        <v>19</v>
      </c>
      <c r="K187" s="11" t="s">
        <v>10</v>
      </c>
      <c r="L187" t="str">
        <f t="shared" si="5"/>
        <v>10+ Years</v>
      </c>
      <c r="P187"/>
      <c r="Q187"/>
      <c r="T187"/>
      <c r="U187"/>
      <c r="Y187"/>
      <c r="Z187"/>
      <c r="AA187"/>
    </row>
    <row r="188" spans="2:27" x14ac:dyDescent="0.3">
      <c r="B18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HCP_AI2020CENTRAL404224</v>
      </c>
      <c r="C188" s="9" t="s">
        <v>8</v>
      </c>
      <c r="D188" s="10">
        <v>44090</v>
      </c>
      <c r="E188" s="10" t="str">
        <f t="shared" si="4"/>
        <v>2020</v>
      </c>
      <c r="F188" s="10">
        <v>44824</v>
      </c>
      <c r="G188" s="9">
        <v>40</v>
      </c>
      <c r="H188" s="9">
        <v>42</v>
      </c>
      <c r="I188" s="9">
        <v>24</v>
      </c>
      <c r="J188" s="9" t="s">
        <v>14</v>
      </c>
      <c r="K188" s="11" t="s">
        <v>10</v>
      </c>
      <c r="L188" t="str">
        <f t="shared" si="5"/>
        <v>0-1 Years</v>
      </c>
      <c r="P188"/>
      <c r="Q188"/>
      <c r="T188"/>
      <c r="U188"/>
      <c r="Y188"/>
      <c r="Z188"/>
      <c r="AA188"/>
    </row>
    <row r="189" spans="2:27" x14ac:dyDescent="0.3">
      <c r="B18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HCP_PDA2020MIDWEST40365</v>
      </c>
      <c r="C189" s="9" t="s">
        <v>17</v>
      </c>
      <c r="D189" s="10">
        <v>44083</v>
      </c>
      <c r="E189" s="10" t="str">
        <f t="shared" si="4"/>
        <v>2020</v>
      </c>
      <c r="F189" s="10">
        <v>44235</v>
      </c>
      <c r="G189" s="9">
        <v>40</v>
      </c>
      <c r="H189" s="9">
        <v>36</v>
      </c>
      <c r="I189" s="9">
        <v>5</v>
      </c>
      <c r="J189" s="9" t="s">
        <v>13</v>
      </c>
      <c r="K189" s="11" t="s">
        <v>16</v>
      </c>
      <c r="L189" t="str">
        <f t="shared" si="5"/>
        <v>10+ Years</v>
      </c>
      <c r="P189"/>
      <c r="Q189"/>
      <c r="T189"/>
      <c r="U189"/>
      <c r="Y189"/>
      <c r="Z189"/>
      <c r="AA189"/>
    </row>
    <row r="190" spans="2:27" x14ac:dyDescent="0.3">
      <c r="B190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HCP_A2021MIDWEST39110</v>
      </c>
      <c r="C190" s="9" t="s">
        <v>12</v>
      </c>
      <c r="D190" s="10">
        <v>44475</v>
      </c>
      <c r="E190" s="10" t="str">
        <f t="shared" si="4"/>
        <v>2021</v>
      </c>
      <c r="F190" s="10">
        <v>44826</v>
      </c>
      <c r="G190" s="9">
        <v>39</v>
      </c>
      <c r="H190" s="9">
        <v>11</v>
      </c>
      <c r="I190" s="9">
        <v>0</v>
      </c>
      <c r="J190" s="9" t="s">
        <v>13</v>
      </c>
      <c r="K190" s="11" t="s">
        <v>10</v>
      </c>
      <c r="L190" t="str">
        <f t="shared" si="5"/>
        <v>3-5 Years</v>
      </c>
      <c r="P190"/>
      <c r="Q190"/>
      <c r="T190"/>
      <c r="U190"/>
      <c r="Y190"/>
      <c r="Z190"/>
      <c r="AA190"/>
    </row>
    <row r="191" spans="2:27" x14ac:dyDescent="0.3">
      <c r="B19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HCP_PDA2021MIDWEST38414</v>
      </c>
      <c r="C191" s="9" t="s">
        <v>17</v>
      </c>
      <c r="D191" s="10">
        <v>44516</v>
      </c>
      <c r="E191" s="10" t="str">
        <f t="shared" si="4"/>
        <v>2021</v>
      </c>
      <c r="F191" s="10">
        <v>44825</v>
      </c>
      <c r="G191" s="9">
        <v>38</v>
      </c>
      <c r="H191" s="9">
        <v>41</v>
      </c>
      <c r="I191" s="9">
        <v>4</v>
      </c>
      <c r="J191" s="9" t="s">
        <v>13</v>
      </c>
      <c r="K191" s="11" t="s">
        <v>10</v>
      </c>
      <c r="L191" t="str">
        <f t="shared" si="5"/>
        <v>0-1 Years</v>
      </c>
      <c r="P191"/>
      <c r="Q191"/>
      <c r="T191"/>
      <c r="U191"/>
      <c r="Y191"/>
      <c r="Z191"/>
      <c r="AA191"/>
    </row>
    <row r="192" spans="2:27" x14ac:dyDescent="0.3">
      <c r="B19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HCP_AI2021SOUTHEAST38727</v>
      </c>
      <c r="C192" s="9" t="s">
        <v>8</v>
      </c>
      <c r="D192" s="10">
        <v>44459</v>
      </c>
      <c r="E192" s="10" t="str">
        <f t="shared" si="4"/>
        <v>2021</v>
      </c>
      <c r="F192" s="10">
        <v>44824</v>
      </c>
      <c r="G192" s="9">
        <v>38</v>
      </c>
      <c r="H192" s="9">
        <v>7</v>
      </c>
      <c r="I192" s="9">
        <v>27</v>
      </c>
      <c r="J192" s="9" t="s">
        <v>19</v>
      </c>
      <c r="K192" s="11" t="s">
        <v>10</v>
      </c>
      <c r="L192" t="str">
        <f t="shared" si="5"/>
        <v>3-5 Years</v>
      </c>
      <c r="P192"/>
      <c r="Q192"/>
      <c r="T192"/>
      <c r="U192"/>
      <c r="Y192"/>
      <c r="Z192"/>
      <c r="AA192"/>
    </row>
    <row r="193" spans="2:27" x14ac:dyDescent="0.3">
      <c r="B19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HCP_AI2021MIDWEST383529</v>
      </c>
      <c r="C193" s="9" t="s">
        <v>8</v>
      </c>
      <c r="D193" s="10">
        <v>44336</v>
      </c>
      <c r="E193" s="10" t="str">
        <f t="shared" si="4"/>
        <v>2021</v>
      </c>
      <c r="F193" s="10">
        <v>44819</v>
      </c>
      <c r="G193" s="9">
        <v>38</v>
      </c>
      <c r="H193" s="9">
        <v>35</v>
      </c>
      <c r="I193" s="9">
        <v>29</v>
      </c>
      <c r="J193" s="9" t="s">
        <v>13</v>
      </c>
      <c r="K193" s="11" t="s">
        <v>10</v>
      </c>
      <c r="L193" t="str">
        <f t="shared" si="5"/>
        <v>10+ Years</v>
      </c>
      <c r="P193"/>
      <c r="Q193"/>
      <c r="T193"/>
      <c r="U193"/>
      <c r="Y193"/>
      <c r="Z193"/>
      <c r="AA193"/>
    </row>
    <row r="194" spans="2:27" x14ac:dyDescent="0.3">
      <c r="B19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HCP_AI2021MIDWEST383918</v>
      </c>
      <c r="C194" s="9" t="s">
        <v>8</v>
      </c>
      <c r="D194" s="10">
        <v>44314</v>
      </c>
      <c r="E194" s="10" t="str">
        <f t="shared" ref="E194:E257" si="6">TEXT(D194,"yyyy")</f>
        <v>2021</v>
      </c>
      <c r="F194" s="10">
        <v>44816</v>
      </c>
      <c r="G194" s="9">
        <v>38</v>
      </c>
      <c r="H194" s="9">
        <v>39</v>
      </c>
      <c r="I194" s="9">
        <v>18</v>
      </c>
      <c r="J194" s="9" t="s">
        <v>13</v>
      </c>
      <c r="K194" s="11" t="s">
        <v>10</v>
      </c>
      <c r="L194" t="str">
        <f t="shared" ref="L194:L257" si="7">IF(I193&lt;=1,"0-1 Years",
IF(I193&lt;=3,"1-3 Years",
IF(I193&lt;=5,"3-5 Years",
IF(I193&lt;=10,"5-10 Years",
"10+ Years"))))</f>
        <v>10+ Years</v>
      </c>
      <c r="P194"/>
      <c r="Q194"/>
      <c r="T194"/>
      <c r="U194"/>
      <c r="Y194"/>
      <c r="Z194"/>
      <c r="AA194"/>
    </row>
    <row r="195" spans="2:27" x14ac:dyDescent="0.3">
      <c r="B19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HCP_AI2022MIDWEST37714</v>
      </c>
      <c r="C195" s="9" t="s">
        <v>8</v>
      </c>
      <c r="D195" s="10">
        <v>44613</v>
      </c>
      <c r="E195" s="10" t="str">
        <f t="shared" si="6"/>
        <v>2022</v>
      </c>
      <c r="F195" s="10">
        <v>44796</v>
      </c>
      <c r="G195" s="9">
        <v>37</v>
      </c>
      <c r="H195" s="9">
        <v>7</v>
      </c>
      <c r="I195" s="9">
        <v>14</v>
      </c>
      <c r="J195" s="9" t="s">
        <v>13</v>
      </c>
      <c r="K195" s="11" t="s">
        <v>10</v>
      </c>
      <c r="L195" t="str">
        <f t="shared" si="7"/>
        <v>10+ Years</v>
      </c>
      <c r="P195"/>
      <c r="Q195"/>
      <c r="T195"/>
      <c r="U195"/>
      <c r="Y195"/>
      <c r="Z195"/>
      <c r="AA195"/>
    </row>
    <row r="196" spans="2:27" x14ac:dyDescent="0.3">
      <c r="B19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HCP_AI2022NORTHEAST37290</v>
      </c>
      <c r="C196" s="9" t="s">
        <v>8</v>
      </c>
      <c r="D196" s="10">
        <v>44586</v>
      </c>
      <c r="E196" s="10" t="str">
        <f t="shared" si="6"/>
        <v>2022</v>
      </c>
      <c r="F196" s="10">
        <v>44825</v>
      </c>
      <c r="G196" s="9">
        <v>37</v>
      </c>
      <c r="H196" s="9">
        <v>29</v>
      </c>
      <c r="I196" s="9">
        <v>0</v>
      </c>
      <c r="J196" s="9" t="s">
        <v>15</v>
      </c>
      <c r="K196" s="11" t="s">
        <v>10</v>
      </c>
      <c r="L196" t="str">
        <f t="shared" si="7"/>
        <v>10+ Years</v>
      </c>
      <c r="P196"/>
      <c r="Q196"/>
      <c r="T196"/>
      <c r="U196"/>
      <c r="Y196"/>
      <c r="Z196"/>
      <c r="AA196"/>
    </row>
    <row r="197" spans="2:27" x14ac:dyDescent="0.3">
      <c r="B19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HCP_AI2021WEST37379</v>
      </c>
      <c r="C197" s="9" t="s">
        <v>8</v>
      </c>
      <c r="D197" s="10">
        <v>44522</v>
      </c>
      <c r="E197" s="10" t="str">
        <f t="shared" si="6"/>
        <v>2021</v>
      </c>
      <c r="F197" s="10">
        <v>44817</v>
      </c>
      <c r="G197" s="9">
        <v>37</v>
      </c>
      <c r="H197" s="9">
        <v>37</v>
      </c>
      <c r="I197" s="9">
        <v>9</v>
      </c>
      <c r="J197" s="9" t="s">
        <v>9</v>
      </c>
      <c r="K197" s="11" t="s">
        <v>10</v>
      </c>
      <c r="L197" t="str">
        <f t="shared" si="7"/>
        <v>0-1 Years</v>
      </c>
      <c r="P197"/>
      <c r="Q197"/>
      <c r="T197"/>
      <c r="U197"/>
      <c r="Y197"/>
      <c r="Z197"/>
      <c r="AA197"/>
    </row>
    <row r="198" spans="2:27" x14ac:dyDescent="0.3">
      <c r="B19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HCP_PD2021MIDWEST374616</v>
      </c>
      <c r="C198" s="9" t="s">
        <v>20</v>
      </c>
      <c r="D198" s="10">
        <v>44403</v>
      </c>
      <c r="E198" s="10" t="str">
        <f t="shared" si="6"/>
        <v>2021</v>
      </c>
      <c r="F198" s="10">
        <v>44822</v>
      </c>
      <c r="G198" s="9">
        <v>37</v>
      </c>
      <c r="H198" s="9">
        <v>46</v>
      </c>
      <c r="I198" s="9">
        <v>16</v>
      </c>
      <c r="J198" s="9" t="s">
        <v>13</v>
      </c>
      <c r="K198" s="11" t="s">
        <v>10</v>
      </c>
      <c r="L198" t="str">
        <f t="shared" si="7"/>
        <v>5-10 Years</v>
      </c>
      <c r="P198"/>
      <c r="Q198"/>
      <c r="T198"/>
      <c r="U198"/>
      <c r="Y198"/>
      <c r="Z198"/>
      <c r="AA198"/>
    </row>
    <row r="199" spans="2:27" x14ac:dyDescent="0.3">
      <c r="B19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HCP_AI2020WEST37362</v>
      </c>
      <c r="C199" s="9" t="s">
        <v>8</v>
      </c>
      <c r="D199" s="10">
        <v>44137</v>
      </c>
      <c r="E199" s="10" t="str">
        <f t="shared" si="6"/>
        <v>2020</v>
      </c>
      <c r="F199" s="10">
        <v>44826</v>
      </c>
      <c r="G199" s="9">
        <v>37</v>
      </c>
      <c r="H199" s="9">
        <v>36</v>
      </c>
      <c r="I199" s="9">
        <v>2</v>
      </c>
      <c r="J199" s="9" t="s">
        <v>9</v>
      </c>
      <c r="K199" s="11" t="s">
        <v>10</v>
      </c>
      <c r="L199" t="str">
        <f t="shared" si="7"/>
        <v>10+ Years</v>
      </c>
      <c r="P199"/>
      <c r="Q199"/>
      <c r="T199"/>
      <c r="U199"/>
      <c r="Y199"/>
      <c r="Z199"/>
      <c r="AA199"/>
    </row>
    <row r="200" spans="2:27" x14ac:dyDescent="0.3">
      <c r="B20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HCP_AI2020NORTHEAST37406</v>
      </c>
      <c r="C200" s="9" t="s">
        <v>8</v>
      </c>
      <c r="D200" s="10">
        <v>44067</v>
      </c>
      <c r="E200" s="10" t="str">
        <f t="shared" si="6"/>
        <v>2020</v>
      </c>
      <c r="F200" s="10">
        <v>44536</v>
      </c>
      <c r="G200" s="9">
        <v>37</v>
      </c>
      <c r="H200" s="9">
        <v>40</v>
      </c>
      <c r="I200" s="9">
        <v>6</v>
      </c>
      <c r="J200" s="9" t="s">
        <v>15</v>
      </c>
      <c r="K200" s="11" t="s">
        <v>16</v>
      </c>
      <c r="L200" t="str">
        <f t="shared" si="7"/>
        <v>1-3 Years</v>
      </c>
      <c r="P200"/>
      <c r="Q200"/>
      <c r="T200"/>
      <c r="U200"/>
      <c r="Y200"/>
      <c r="Z200"/>
      <c r="AA200"/>
    </row>
    <row r="201" spans="2:27" x14ac:dyDescent="0.3">
      <c r="B20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HCP_PDA2022CENTRAL36434</v>
      </c>
      <c r="C201" s="9" t="s">
        <v>17</v>
      </c>
      <c r="D201" s="10">
        <v>44602</v>
      </c>
      <c r="E201" s="10" t="str">
        <f t="shared" si="6"/>
        <v>2022</v>
      </c>
      <c r="F201" s="10">
        <v>44826</v>
      </c>
      <c r="G201" s="9">
        <v>36</v>
      </c>
      <c r="H201" s="9">
        <v>43</v>
      </c>
      <c r="I201" s="9">
        <v>4</v>
      </c>
      <c r="J201" s="9" t="s">
        <v>14</v>
      </c>
      <c r="K201" s="11" t="s">
        <v>10</v>
      </c>
      <c r="L201" t="str">
        <f t="shared" si="7"/>
        <v>5-10 Years</v>
      </c>
      <c r="P201"/>
      <c r="Q201"/>
      <c r="T201"/>
      <c r="U201"/>
      <c r="Y201"/>
      <c r="Z201"/>
      <c r="AA201"/>
    </row>
    <row r="202" spans="2:27" x14ac:dyDescent="0.3">
      <c r="B202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HCP_FM2022CENTRAL36347</v>
      </c>
      <c r="C202" s="9" t="s">
        <v>18</v>
      </c>
      <c r="D202" s="10">
        <v>44600</v>
      </c>
      <c r="E202" s="10" t="str">
        <f t="shared" si="6"/>
        <v>2022</v>
      </c>
      <c r="F202" s="10">
        <v>44825</v>
      </c>
      <c r="G202" s="9">
        <v>36</v>
      </c>
      <c r="H202" s="9">
        <v>34</v>
      </c>
      <c r="I202" s="9">
        <v>7</v>
      </c>
      <c r="J202" s="9" t="s">
        <v>14</v>
      </c>
      <c r="K202" s="11" t="s">
        <v>10</v>
      </c>
      <c r="L202" t="str">
        <f t="shared" si="7"/>
        <v>3-5 Years</v>
      </c>
      <c r="P202"/>
      <c r="Q202"/>
      <c r="T202"/>
      <c r="U202"/>
      <c r="Y202"/>
      <c r="Z202"/>
      <c r="AA202"/>
    </row>
    <row r="203" spans="2:27" x14ac:dyDescent="0.3">
      <c r="B20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HCP_PDA2020NORTHEAST36915</v>
      </c>
      <c r="C203" s="9" t="s">
        <v>17</v>
      </c>
      <c r="D203" s="10">
        <v>44054</v>
      </c>
      <c r="E203" s="10" t="str">
        <f t="shared" si="6"/>
        <v>2020</v>
      </c>
      <c r="F203" s="10">
        <v>44826</v>
      </c>
      <c r="G203" s="9">
        <v>36</v>
      </c>
      <c r="H203" s="9">
        <v>9</v>
      </c>
      <c r="I203" s="9">
        <v>15</v>
      </c>
      <c r="J203" s="9" t="s">
        <v>15</v>
      </c>
      <c r="K203" s="11" t="s">
        <v>10</v>
      </c>
      <c r="L203" t="str">
        <f t="shared" si="7"/>
        <v>5-10 Years</v>
      </c>
      <c r="P203"/>
      <c r="Q203"/>
      <c r="T203"/>
      <c r="U203"/>
      <c r="Y203"/>
      <c r="Z203"/>
      <c r="AA203"/>
    </row>
    <row r="204" spans="2:27" x14ac:dyDescent="0.3">
      <c r="B20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HCP_PDA2021WEST364514</v>
      </c>
      <c r="C204" s="9" t="s">
        <v>17</v>
      </c>
      <c r="D204" s="10">
        <v>44285</v>
      </c>
      <c r="E204" s="10" t="str">
        <f t="shared" si="6"/>
        <v>2021</v>
      </c>
      <c r="F204" s="10">
        <v>44823</v>
      </c>
      <c r="G204" s="9">
        <v>36</v>
      </c>
      <c r="H204" s="9">
        <v>45</v>
      </c>
      <c r="I204" s="9">
        <v>14</v>
      </c>
      <c r="J204" s="9" t="s">
        <v>9</v>
      </c>
      <c r="K204" s="11" t="s">
        <v>10</v>
      </c>
      <c r="L204" t="str">
        <f t="shared" si="7"/>
        <v>10+ Years</v>
      </c>
      <c r="P204"/>
      <c r="Q204"/>
      <c r="T204"/>
      <c r="U204"/>
      <c r="Y204"/>
      <c r="Z204"/>
      <c r="AA204"/>
    </row>
    <row r="205" spans="2:27" x14ac:dyDescent="0.3">
      <c r="B20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HCP_AI2020NORTHEAST36323</v>
      </c>
      <c r="C205" s="9" t="s">
        <v>8</v>
      </c>
      <c r="D205" s="10">
        <v>44180</v>
      </c>
      <c r="E205" s="10" t="str">
        <f t="shared" si="6"/>
        <v>2020</v>
      </c>
      <c r="F205" s="10">
        <v>44823</v>
      </c>
      <c r="G205" s="9">
        <v>36</v>
      </c>
      <c r="H205" s="9">
        <v>3</v>
      </c>
      <c r="I205" s="9">
        <v>23</v>
      </c>
      <c r="J205" s="9" t="s">
        <v>15</v>
      </c>
      <c r="K205" s="11" t="s">
        <v>10</v>
      </c>
      <c r="L205" t="str">
        <f t="shared" si="7"/>
        <v>10+ Years</v>
      </c>
      <c r="P205"/>
      <c r="Q205"/>
      <c r="T205"/>
      <c r="U205"/>
      <c r="Y205"/>
      <c r="Z205"/>
      <c r="AA205"/>
    </row>
    <row r="206" spans="2:27" x14ac:dyDescent="0.3">
      <c r="B206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HCP_A2020MIDWEST36130</v>
      </c>
      <c r="C206" s="9" t="s">
        <v>12</v>
      </c>
      <c r="D206" s="10">
        <v>44132</v>
      </c>
      <c r="E206" s="10" t="str">
        <f t="shared" si="6"/>
        <v>2020</v>
      </c>
      <c r="F206" s="10">
        <v>44818</v>
      </c>
      <c r="G206" s="9">
        <v>36</v>
      </c>
      <c r="H206" s="9">
        <v>1</v>
      </c>
      <c r="I206" s="9">
        <v>30</v>
      </c>
      <c r="J206" s="9" t="s">
        <v>13</v>
      </c>
      <c r="K206" s="11" t="s">
        <v>10</v>
      </c>
      <c r="L206" t="str">
        <f t="shared" si="7"/>
        <v>10+ Years</v>
      </c>
      <c r="P206"/>
      <c r="Q206"/>
      <c r="T206"/>
      <c r="U206"/>
      <c r="Y206"/>
      <c r="Z206"/>
      <c r="AA206"/>
    </row>
    <row r="207" spans="2:27" x14ac:dyDescent="0.3">
      <c r="B20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HCP_PDA2020SOUTHEAST361224</v>
      </c>
      <c r="C207" s="9" t="s">
        <v>17</v>
      </c>
      <c r="D207" s="10">
        <v>44067</v>
      </c>
      <c r="E207" s="10" t="str">
        <f t="shared" si="6"/>
        <v>2020</v>
      </c>
      <c r="F207" s="10">
        <v>44825</v>
      </c>
      <c r="G207" s="9">
        <v>36</v>
      </c>
      <c r="H207" s="9">
        <v>12</v>
      </c>
      <c r="I207" s="9">
        <v>24</v>
      </c>
      <c r="J207" s="9" t="s">
        <v>19</v>
      </c>
      <c r="K207" s="11" t="s">
        <v>10</v>
      </c>
      <c r="L207" t="str">
        <f t="shared" si="7"/>
        <v>10+ Years</v>
      </c>
      <c r="P207"/>
      <c r="Q207"/>
      <c r="T207"/>
      <c r="U207"/>
      <c r="Y207"/>
      <c r="Z207"/>
      <c r="AA207"/>
    </row>
    <row r="208" spans="2:27" x14ac:dyDescent="0.3">
      <c r="B20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HCP_AI2020MIDWEST36422</v>
      </c>
      <c r="C208" s="9" t="s">
        <v>8</v>
      </c>
      <c r="D208" s="10">
        <v>43997</v>
      </c>
      <c r="E208" s="10" t="str">
        <f t="shared" si="6"/>
        <v>2020</v>
      </c>
      <c r="F208" s="10">
        <v>44803</v>
      </c>
      <c r="G208" s="9">
        <v>36</v>
      </c>
      <c r="H208" s="9">
        <v>4</v>
      </c>
      <c r="I208" s="9">
        <v>22</v>
      </c>
      <c r="J208" s="9" t="s">
        <v>13</v>
      </c>
      <c r="K208" s="11" t="s">
        <v>10</v>
      </c>
      <c r="L208" t="str">
        <f t="shared" si="7"/>
        <v>10+ Years</v>
      </c>
      <c r="P208"/>
      <c r="Q208"/>
      <c r="T208"/>
      <c r="U208"/>
      <c r="Y208"/>
      <c r="Z208"/>
      <c r="AA208"/>
    </row>
    <row r="209" spans="2:27" x14ac:dyDescent="0.3">
      <c r="B20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HCP_AI2021SOUTHEAST351614</v>
      </c>
      <c r="C209" s="9" t="s">
        <v>8</v>
      </c>
      <c r="D209" s="10">
        <v>44487</v>
      </c>
      <c r="E209" s="10" t="str">
        <f t="shared" si="6"/>
        <v>2021</v>
      </c>
      <c r="F209" s="10">
        <v>44804</v>
      </c>
      <c r="G209" s="9">
        <v>35</v>
      </c>
      <c r="H209" s="9">
        <v>16</v>
      </c>
      <c r="I209" s="9">
        <v>14</v>
      </c>
      <c r="J209" s="9" t="s">
        <v>19</v>
      </c>
      <c r="K209" s="11" t="s">
        <v>10</v>
      </c>
      <c r="L209" t="str">
        <f t="shared" si="7"/>
        <v>10+ Years</v>
      </c>
      <c r="P209"/>
      <c r="Q209"/>
      <c r="T209"/>
      <c r="U209"/>
      <c r="Y209"/>
      <c r="Z209"/>
      <c r="AA209"/>
    </row>
    <row r="210" spans="2:27" x14ac:dyDescent="0.3">
      <c r="B210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HCP_PDA2020MIDWEST3418</v>
      </c>
      <c r="C210" s="9" t="s">
        <v>17</v>
      </c>
      <c r="D210" s="10">
        <v>44060</v>
      </c>
      <c r="E210" s="10" t="str">
        <f t="shared" si="6"/>
        <v>2020</v>
      </c>
      <c r="F210" s="10">
        <v>44827</v>
      </c>
      <c r="G210" s="9">
        <v>34</v>
      </c>
      <c r="H210" s="9">
        <v>1</v>
      </c>
      <c r="I210" s="9">
        <v>8</v>
      </c>
      <c r="J210" s="9" t="s">
        <v>13</v>
      </c>
      <c r="K210" s="11" t="s">
        <v>10</v>
      </c>
      <c r="L210" t="str">
        <f t="shared" si="7"/>
        <v>10+ Years</v>
      </c>
      <c r="P210"/>
      <c r="Q210"/>
      <c r="T210"/>
      <c r="U210"/>
      <c r="Y210"/>
      <c r="Z210"/>
      <c r="AA210"/>
    </row>
    <row r="211" spans="2:27" x14ac:dyDescent="0.3">
      <c r="B21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HCP_AI2020CENTRAL3411</v>
      </c>
      <c r="C211" s="9" t="s">
        <v>8</v>
      </c>
      <c r="D211" s="10">
        <v>44118</v>
      </c>
      <c r="E211" s="10" t="str">
        <f t="shared" si="6"/>
        <v>2020</v>
      </c>
      <c r="F211" s="10">
        <v>44118</v>
      </c>
      <c r="G211" s="9">
        <v>34</v>
      </c>
      <c r="H211" s="9">
        <v>1</v>
      </c>
      <c r="I211" s="9">
        <v>1</v>
      </c>
      <c r="J211" s="9" t="s">
        <v>14</v>
      </c>
      <c r="K211" s="11" t="s">
        <v>16</v>
      </c>
      <c r="L211" t="str">
        <f t="shared" si="7"/>
        <v>5-10 Years</v>
      </c>
      <c r="P211"/>
      <c r="Q211"/>
      <c r="T211"/>
      <c r="U211"/>
      <c r="Y211"/>
      <c r="Z211"/>
      <c r="AA211"/>
    </row>
    <row r="212" spans="2:27" x14ac:dyDescent="0.3">
      <c r="B21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HCP_AI2020MIDWEST3474</v>
      </c>
      <c r="C212" s="9" t="s">
        <v>8</v>
      </c>
      <c r="D212" s="10">
        <v>44111</v>
      </c>
      <c r="E212" s="10" t="str">
        <f t="shared" si="6"/>
        <v>2020</v>
      </c>
      <c r="F212" s="10">
        <v>44823</v>
      </c>
      <c r="G212" s="9">
        <v>34</v>
      </c>
      <c r="H212" s="9">
        <v>7</v>
      </c>
      <c r="I212" s="9">
        <v>4</v>
      </c>
      <c r="J212" s="9" t="s">
        <v>13</v>
      </c>
      <c r="K212" s="11" t="s">
        <v>10</v>
      </c>
      <c r="L212" t="str">
        <f t="shared" si="7"/>
        <v>0-1 Years</v>
      </c>
      <c r="P212"/>
      <c r="Q212"/>
      <c r="T212"/>
      <c r="U212"/>
      <c r="Y212"/>
      <c r="Z212"/>
      <c r="AA212"/>
    </row>
    <row r="213" spans="2:27" x14ac:dyDescent="0.3">
      <c r="B21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HCP_AI2020SOUTHEAST34466</v>
      </c>
      <c r="C213" s="9" t="s">
        <v>8</v>
      </c>
      <c r="D213" s="10">
        <v>44027</v>
      </c>
      <c r="E213" s="10" t="str">
        <f t="shared" si="6"/>
        <v>2020</v>
      </c>
      <c r="F213" s="10">
        <v>44826</v>
      </c>
      <c r="G213" s="9">
        <v>34</v>
      </c>
      <c r="H213" s="9">
        <v>46</v>
      </c>
      <c r="I213" s="9">
        <v>6</v>
      </c>
      <c r="J213" s="9" t="s">
        <v>19</v>
      </c>
      <c r="K213" s="11" t="s">
        <v>10</v>
      </c>
      <c r="L213" t="str">
        <f t="shared" si="7"/>
        <v>3-5 Years</v>
      </c>
      <c r="P213"/>
      <c r="Q213"/>
      <c r="T213"/>
      <c r="U213"/>
      <c r="Y213"/>
      <c r="Z213"/>
      <c r="AA213"/>
    </row>
    <row r="214" spans="2:27" x14ac:dyDescent="0.3">
      <c r="B21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HCP_AI2021WEST3353</v>
      </c>
      <c r="C214" s="9" t="s">
        <v>8</v>
      </c>
      <c r="D214" s="10">
        <v>44518</v>
      </c>
      <c r="E214" s="10" t="str">
        <f t="shared" si="6"/>
        <v>2021</v>
      </c>
      <c r="F214" s="10">
        <v>44727</v>
      </c>
      <c r="G214" s="9">
        <v>33</v>
      </c>
      <c r="H214" s="9">
        <v>5</v>
      </c>
      <c r="I214" s="9">
        <v>3</v>
      </c>
      <c r="J214" s="9" t="s">
        <v>9</v>
      </c>
      <c r="K214" s="11" t="s">
        <v>16</v>
      </c>
      <c r="L214" t="str">
        <f t="shared" si="7"/>
        <v>5-10 Years</v>
      </c>
      <c r="P214"/>
      <c r="Q214"/>
      <c r="T214"/>
      <c r="U214"/>
      <c r="Y214"/>
      <c r="Z214"/>
      <c r="AA214"/>
    </row>
    <row r="215" spans="2:27" x14ac:dyDescent="0.3">
      <c r="B21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HCP_PDA2021SOUTHEAST334626</v>
      </c>
      <c r="C215" s="9" t="s">
        <v>17</v>
      </c>
      <c r="D215" s="10">
        <v>44241</v>
      </c>
      <c r="E215" s="10" t="str">
        <f t="shared" si="6"/>
        <v>2021</v>
      </c>
      <c r="F215" s="10">
        <v>44734</v>
      </c>
      <c r="G215" s="9">
        <v>33</v>
      </c>
      <c r="H215" s="9">
        <v>46</v>
      </c>
      <c r="I215" s="9">
        <v>26</v>
      </c>
      <c r="J215" s="9" t="s">
        <v>19</v>
      </c>
      <c r="K215" s="11" t="s">
        <v>16</v>
      </c>
      <c r="L215" t="str">
        <f t="shared" si="7"/>
        <v>1-3 Years</v>
      </c>
      <c r="P215"/>
      <c r="Q215"/>
      <c r="T215"/>
      <c r="U215"/>
      <c r="Y215"/>
      <c r="Z215"/>
      <c r="AA215"/>
    </row>
    <row r="216" spans="2:27" x14ac:dyDescent="0.3">
      <c r="B21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HCP_AI2021MIDWEST331821</v>
      </c>
      <c r="C216" s="9" t="s">
        <v>8</v>
      </c>
      <c r="D216" s="10">
        <v>44202</v>
      </c>
      <c r="E216" s="10" t="str">
        <f t="shared" si="6"/>
        <v>2021</v>
      </c>
      <c r="F216" s="10">
        <v>44658</v>
      </c>
      <c r="G216" s="9">
        <v>33</v>
      </c>
      <c r="H216" s="9">
        <v>18</v>
      </c>
      <c r="I216" s="9">
        <v>21</v>
      </c>
      <c r="J216" s="9" t="s">
        <v>13</v>
      </c>
      <c r="K216" s="11" t="s">
        <v>16</v>
      </c>
      <c r="L216" t="str">
        <f t="shared" si="7"/>
        <v>10+ Years</v>
      </c>
      <c r="P216"/>
      <c r="Q216"/>
      <c r="T216"/>
      <c r="U216"/>
      <c r="Y216"/>
      <c r="Z216"/>
      <c r="AA216"/>
    </row>
    <row r="217" spans="2:27" x14ac:dyDescent="0.3">
      <c r="B21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HCP_AI2020SOUTHEAST333524</v>
      </c>
      <c r="C217" s="9" t="s">
        <v>8</v>
      </c>
      <c r="D217" s="10">
        <v>44029</v>
      </c>
      <c r="E217" s="10" t="str">
        <f t="shared" si="6"/>
        <v>2020</v>
      </c>
      <c r="F217" s="10">
        <v>44728</v>
      </c>
      <c r="G217" s="9">
        <v>33</v>
      </c>
      <c r="H217" s="9">
        <v>35</v>
      </c>
      <c r="I217" s="9">
        <v>24</v>
      </c>
      <c r="J217" s="9" t="s">
        <v>19</v>
      </c>
      <c r="K217" s="11" t="s">
        <v>16</v>
      </c>
      <c r="L217" t="str">
        <f t="shared" si="7"/>
        <v>10+ Years</v>
      </c>
      <c r="P217"/>
      <c r="Q217"/>
      <c r="T217"/>
      <c r="U217"/>
      <c r="Y217"/>
      <c r="Z217"/>
      <c r="AA217"/>
    </row>
    <row r="218" spans="2:27" x14ac:dyDescent="0.3">
      <c r="B218" s="8" t="str">
        <f>"HCP_"&amp;Table1[[#This Row],[Specialty]]&amp;Table1[[#This Row],[Rx_Start_Year]]&amp;Table1[[#This Row],[Area Name]]&amp;Table1[[#This Row],[Enrollments]]&amp;Table1[[#This Row],[NPS]]&amp;Table1[[#This Row],[Discontinuations]]</f>
        <v>HCP_IG2020WEST332115</v>
      </c>
      <c r="C218" s="9" t="s">
        <v>24</v>
      </c>
      <c r="D218" s="10">
        <v>44025</v>
      </c>
      <c r="E218" s="10" t="str">
        <f t="shared" si="6"/>
        <v>2020</v>
      </c>
      <c r="F218" s="10">
        <v>44819</v>
      </c>
      <c r="G218" s="9">
        <v>33</v>
      </c>
      <c r="H218" s="9">
        <v>21</v>
      </c>
      <c r="I218" s="9">
        <v>15</v>
      </c>
      <c r="J218" s="9" t="s">
        <v>9</v>
      </c>
      <c r="K218" s="11" t="s">
        <v>10</v>
      </c>
      <c r="L218" t="str">
        <f t="shared" si="7"/>
        <v>10+ Years</v>
      </c>
      <c r="P218"/>
      <c r="Q218"/>
      <c r="T218"/>
      <c r="U218"/>
      <c r="Y218"/>
      <c r="Z218"/>
      <c r="AA218"/>
    </row>
    <row r="219" spans="2:27" x14ac:dyDescent="0.3">
      <c r="B21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HCP_AI2020WEST332024</v>
      </c>
      <c r="C219" s="9" t="s">
        <v>8</v>
      </c>
      <c r="D219" s="10">
        <v>43997</v>
      </c>
      <c r="E219" s="10" t="str">
        <f t="shared" si="6"/>
        <v>2020</v>
      </c>
      <c r="F219" s="10">
        <v>44826</v>
      </c>
      <c r="G219" s="9">
        <v>33</v>
      </c>
      <c r="H219" s="9">
        <v>20</v>
      </c>
      <c r="I219" s="9">
        <v>24</v>
      </c>
      <c r="J219" s="9" t="s">
        <v>9</v>
      </c>
      <c r="K219" s="11" t="s">
        <v>10</v>
      </c>
      <c r="L219" t="str">
        <f t="shared" si="7"/>
        <v>10+ Years</v>
      </c>
      <c r="P219"/>
      <c r="Q219"/>
      <c r="T219"/>
      <c r="U219"/>
      <c r="Y219"/>
      <c r="Z219"/>
      <c r="AA219"/>
    </row>
    <row r="220" spans="2:27" x14ac:dyDescent="0.3">
      <c r="B22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HCP_AI2020SOUTHEAST33422</v>
      </c>
      <c r="C220" s="9" t="s">
        <v>8</v>
      </c>
      <c r="D220" s="10">
        <v>43992</v>
      </c>
      <c r="E220" s="10" t="str">
        <f t="shared" si="6"/>
        <v>2020</v>
      </c>
      <c r="F220" s="10">
        <v>44784</v>
      </c>
      <c r="G220" s="9">
        <v>33</v>
      </c>
      <c r="H220" s="9">
        <v>4</v>
      </c>
      <c r="I220" s="9">
        <v>22</v>
      </c>
      <c r="J220" s="9" t="s">
        <v>19</v>
      </c>
      <c r="K220" s="11" t="s">
        <v>10</v>
      </c>
      <c r="L220" t="str">
        <f t="shared" si="7"/>
        <v>10+ Years</v>
      </c>
      <c r="P220"/>
      <c r="Q220"/>
      <c r="T220"/>
      <c r="U220"/>
      <c r="Y220"/>
      <c r="Z220"/>
      <c r="AA220"/>
    </row>
    <row r="221" spans="2:27" x14ac:dyDescent="0.3">
      <c r="B22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HCP_AI2021MIDWEST324319</v>
      </c>
      <c r="C221" s="9" t="s">
        <v>8</v>
      </c>
      <c r="D221" s="10">
        <v>44459</v>
      </c>
      <c r="E221" s="10" t="str">
        <f t="shared" si="6"/>
        <v>2021</v>
      </c>
      <c r="F221" s="10">
        <v>44812</v>
      </c>
      <c r="G221" s="9">
        <v>32</v>
      </c>
      <c r="H221" s="9">
        <v>43</v>
      </c>
      <c r="I221" s="9">
        <v>19</v>
      </c>
      <c r="J221" s="9" t="s">
        <v>13</v>
      </c>
      <c r="K221" s="11" t="s">
        <v>10</v>
      </c>
      <c r="L221" t="str">
        <f t="shared" si="7"/>
        <v>10+ Years</v>
      </c>
      <c r="P221"/>
      <c r="Q221"/>
      <c r="T221"/>
      <c r="U221"/>
      <c r="Y221"/>
      <c r="Z221"/>
      <c r="AA221"/>
    </row>
    <row r="222" spans="2:27" x14ac:dyDescent="0.3">
      <c r="B22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HCP_AI2021NORTHEAST323127</v>
      </c>
      <c r="C222" s="9" t="s">
        <v>8</v>
      </c>
      <c r="D222" s="10">
        <v>44432</v>
      </c>
      <c r="E222" s="10" t="str">
        <f t="shared" si="6"/>
        <v>2021</v>
      </c>
      <c r="F222" s="10">
        <v>44718</v>
      </c>
      <c r="G222" s="9">
        <v>32</v>
      </c>
      <c r="H222" s="9">
        <v>31</v>
      </c>
      <c r="I222" s="9">
        <v>27</v>
      </c>
      <c r="J222" s="9" t="s">
        <v>15</v>
      </c>
      <c r="K222" s="11" t="s">
        <v>16</v>
      </c>
      <c r="L222" t="str">
        <f t="shared" si="7"/>
        <v>10+ Years</v>
      </c>
      <c r="P222"/>
      <c r="Q222"/>
      <c r="T222"/>
      <c r="U222"/>
      <c r="Y222"/>
      <c r="Z222"/>
      <c r="AA222"/>
    </row>
    <row r="223" spans="2:27" x14ac:dyDescent="0.3">
      <c r="B22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HCP_AI2020NORTHEAST3214</v>
      </c>
      <c r="C223" s="9" t="s">
        <v>8</v>
      </c>
      <c r="D223" s="10">
        <v>44013</v>
      </c>
      <c r="E223" s="10" t="str">
        <f t="shared" si="6"/>
        <v>2020</v>
      </c>
      <c r="F223" s="10">
        <v>44670</v>
      </c>
      <c r="G223" s="9">
        <v>32</v>
      </c>
      <c r="H223" s="9">
        <v>1</v>
      </c>
      <c r="I223" s="9">
        <v>4</v>
      </c>
      <c r="J223" s="9" t="s">
        <v>15</v>
      </c>
      <c r="K223" s="11" t="s">
        <v>16</v>
      </c>
      <c r="L223" t="str">
        <f t="shared" si="7"/>
        <v>10+ Years</v>
      </c>
      <c r="P223"/>
      <c r="Q223"/>
      <c r="T223"/>
      <c r="U223"/>
      <c r="Y223"/>
      <c r="Z223"/>
      <c r="AA223"/>
    </row>
    <row r="224" spans="2:27" x14ac:dyDescent="0.3">
      <c r="B22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HCP_AI2020NORTHEAST324321</v>
      </c>
      <c r="C224" s="9" t="s">
        <v>8</v>
      </c>
      <c r="D224" s="10">
        <v>44004</v>
      </c>
      <c r="E224" s="10" t="str">
        <f t="shared" si="6"/>
        <v>2020</v>
      </c>
      <c r="F224" s="10">
        <v>44774</v>
      </c>
      <c r="G224" s="9">
        <v>32</v>
      </c>
      <c r="H224" s="9">
        <v>43</v>
      </c>
      <c r="I224" s="9">
        <v>21</v>
      </c>
      <c r="J224" s="9" t="s">
        <v>15</v>
      </c>
      <c r="K224" s="11" t="s">
        <v>10</v>
      </c>
      <c r="L224" t="str">
        <f t="shared" si="7"/>
        <v>3-5 Years</v>
      </c>
      <c r="P224"/>
      <c r="Q224"/>
      <c r="T224"/>
      <c r="U224"/>
      <c r="Y224"/>
      <c r="Z224"/>
      <c r="AA224"/>
    </row>
    <row r="225" spans="2:27" x14ac:dyDescent="0.3">
      <c r="B22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HCP_AI2020SOUTHEAST321622</v>
      </c>
      <c r="C225" s="9" t="s">
        <v>8</v>
      </c>
      <c r="D225" s="10">
        <v>43991</v>
      </c>
      <c r="E225" s="10" t="str">
        <f t="shared" si="6"/>
        <v>2020</v>
      </c>
      <c r="F225" s="10">
        <v>44824</v>
      </c>
      <c r="G225" s="9">
        <v>32</v>
      </c>
      <c r="H225" s="9">
        <v>16</v>
      </c>
      <c r="I225" s="9">
        <v>22</v>
      </c>
      <c r="J225" s="9" t="s">
        <v>19</v>
      </c>
      <c r="K225" s="11" t="s">
        <v>10</v>
      </c>
      <c r="L225" t="str">
        <f t="shared" si="7"/>
        <v>10+ Years</v>
      </c>
      <c r="P225"/>
      <c r="Q225"/>
      <c r="T225"/>
      <c r="U225"/>
      <c r="Y225"/>
      <c r="Z225"/>
      <c r="AA225"/>
    </row>
    <row r="226" spans="2:27" x14ac:dyDescent="0.3">
      <c r="B226" s="8" t="str">
        <f>"HCP_"&amp;Table1[[#This Row],[Specialty]]&amp;Table1[[#This Row],[Rx_Start_Year]]&amp;Table1[[#This Row],[Area Name]]&amp;Table1[[#This Row],[Enrollments]]&amp;Table1[[#This Row],[NPS]]&amp;Table1[[#This Row],[Discontinuations]]</f>
        <v>HCP_IM2020CENTRAL323510</v>
      </c>
      <c r="C226" s="9" t="s">
        <v>27</v>
      </c>
      <c r="D226" s="10">
        <v>43972</v>
      </c>
      <c r="E226" s="10" t="str">
        <f t="shared" si="6"/>
        <v>2020</v>
      </c>
      <c r="F226" s="10">
        <v>44817</v>
      </c>
      <c r="G226" s="9">
        <v>32</v>
      </c>
      <c r="H226" s="9">
        <v>35</v>
      </c>
      <c r="I226" s="9">
        <v>10</v>
      </c>
      <c r="J226" s="9" t="s">
        <v>14</v>
      </c>
      <c r="K226" s="11" t="s">
        <v>10</v>
      </c>
      <c r="L226" t="str">
        <f t="shared" si="7"/>
        <v>10+ Years</v>
      </c>
      <c r="P226"/>
      <c r="Q226"/>
      <c r="T226"/>
      <c r="U226"/>
      <c r="Y226"/>
      <c r="Z226"/>
      <c r="AA226"/>
    </row>
    <row r="227" spans="2:27" x14ac:dyDescent="0.3">
      <c r="B22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HCP_AI2021SOUTHEAST312418</v>
      </c>
      <c r="C227" s="9" t="s">
        <v>8</v>
      </c>
      <c r="D227" s="10">
        <v>44545</v>
      </c>
      <c r="E227" s="10" t="str">
        <f t="shared" si="6"/>
        <v>2021</v>
      </c>
      <c r="F227" s="10">
        <v>44769</v>
      </c>
      <c r="G227" s="9">
        <v>31</v>
      </c>
      <c r="H227" s="9">
        <v>24</v>
      </c>
      <c r="I227" s="9">
        <v>18</v>
      </c>
      <c r="J227" s="9" t="s">
        <v>19</v>
      </c>
      <c r="K227" s="11" t="s">
        <v>10</v>
      </c>
      <c r="L227" t="str">
        <f t="shared" si="7"/>
        <v>5-10 Years</v>
      </c>
      <c r="P227"/>
      <c r="Q227"/>
      <c r="T227"/>
      <c r="U227"/>
      <c r="Y227"/>
      <c r="Z227"/>
      <c r="AA227"/>
    </row>
    <row r="228" spans="2:27" x14ac:dyDescent="0.3">
      <c r="B22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HCP_AI2021CENTRAL31314</v>
      </c>
      <c r="C228" s="9" t="s">
        <v>8</v>
      </c>
      <c r="D228" s="10">
        <v>44514</v>
      </c>
      <c r="E228" s="10" t="str">
        <f t="shared" si="6"/>
        <v>2021</v>
      </c>
      <c r="F228" s="10">
        <v>44691</v>
      </c>
      <c r="G228" s="9">
        <v>31</v>
      </c>
      <c r="H228" s="9">
        <v>3</v>
      </c>
      <c r="I228" s="9">
        <v>14</v>
      </c>
      <c r="J228" s="9" t="s">
        <v>14</v>
      </c>
      <c r="K228" s="11" t="s">
        <v>16</v>
      </c>
      <c r="L228" t="str">
        <f t="shared" si="7"/>
        <v>10+ Years</v>
      </c>
      <c r="P228"/>
      <c r="Q228"/>
      <c r="T228"/>
      <c r="U228"/>
      <c r="Y228"/>
      <c r="Z228"/>
      <c r="AA228"/>
    </row>
    <row r="229" spans="2:27" x14ac:dyDescent="0.3">
      <c r="B22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HCP_AI2021WEST311523</v>
      </c>
      <c r="C229" s="9" t="s">
        <v>8</v>
      </c>
      <c r="D229" s="10">
        <v>44461</v>
      </c>
      <c r="E229" s="10" t="str">
        <f t="shared" si="6"/>
        <v>2021</v>
      </c>
      <c r="F229" s="10">
        <v>44719</v>
      </c>
      <c r="G229" s="9">
        <v>31</v>
      </c>
      <c r="H229" s="9">
        <v>15</v>
      </c>
      <c r="I229" s="9">
        <v>23</v>
      </c>
      <c r="J229" s="9" t="s">
        <v>9</v>
      </c>
      <c r="K229" s="11" t="s">
        <v>16</v>
      </c>
      <c r="L229" t="str">
        <f t="shared" si="7"/>
        <v>10+ Years</v>
      </c>
      <c r="P229"/>
      <c r="Q229"/>
      <c r="T229"/>
      <c r="U229"/>
      <c r="Y229"/>
      <c r="Z229"/>
      <c r="AA229"/>
    </row>
    <row r="230" spans="2:27" x14ac:dyDescent="0.3">
      <c r="B23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HCP_AI2021WEST31715</v>
      </c>
      <c r="C230" s="9" t="s">
        <v>8</v>
      </c>
      <c r="D230" s="10">
        <v>44445</v>
      </c>
      <c r="E230" s="10" t="str">
        <f t="shared" si="6"/>
        <v>2021</v>
      </c>
      <c r="F230" s="10">
        <v>44445</v>
      </c>
      <c r="G230" s="9">
        <v>31</v>
      </c>
      <c r="H230" s="9">
        <v>7</v>
      </c>
      <c r="I230" s="9">
        <v>15</v>
      </c>
      <c r="J230" s="9" t="s">
        <v>9</v>
      </c>
      <c r="K230" s="11" t="s">
        <v>16</v>
      </c>
      <c r="L230" t="str">
        <f t="shared" si="7"/>
        <v>10+ Years</v>
      </c>
      <c r="P230"/>
      <c r="Q230"/>
      <c r="T230"/>
      <c r="U230"/>
      <c r="Y230"/>
      <c r="Z230"/>
      <c r="AA230"/>
    </row>
    <row r="231" spans="2:27" x14ac:dyDescent="0.3">
      <c r="B23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HCP_AI2020NORTHEAST3136</v>
      </c>
      <c r="C231" s="9" t="s">
        <v>8</v>
      </c>
      <c r="D231" s="10">
        <v>44055</v>
      </c>
      <c r="E231" s="10" t="str">
        <f t="shared" si="6"/>
        <v>2020</v>
      </c>
      <c r="F231" s="10">
        <v>44823</v>
      </c>
      <c r="G231" s="9">
        <v>31</v>
      </c>
      <c r="H231" s="9">
        <v>3</v>
      </c>
      <c r="I231" s="9">
        <v>6</v>
      </c>
      <c r="J231" s="9" t="s">
        <v>15</v>
      </c>
      <c r="K231" s="11" t="s">
        <v>10</v>
      </c>
      <c r="L231" t="str">
        <f t="shared" si="7"/>
        <v>10+ Years</v>
      </c>
      <c r="P231"/>
      <c r="Q231"/>
      <c r="T231"/>
      <c r="U231"/>
      <c r="Y231"/>
      <c r="Z231"/>
      <c r="AA231"/>
    </row>
    <row r="232" spans="2:27" x14ac:dyDescent="0.3">
      <c r="B23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HCP_AI2020MIDWEST3127</v>
      </c>
      <c r="C232" s="9" t="s">
        <v>8</v>
      </c>
      <c r="D232" s="10">
        <v>44098</v>
      </c>
      <c r="E232" s="10" t="str">
        <f t="shared" si="6"/>
        <v>2020</v>
      </c>
      <c r="F232" s="10">
        <v>44819</v>
      </c>
      <c r="G232" s="9">
        <v>31</v>
      </c>
      <c r="H232" s="9">
        <v>2</v>
      </c>
      <c r="I232" s="9">
        <v>7</v>
      </c>
      <c r="J232" s="9" t="s">
        <v>13</v>
      </c>
      <c r="K232" s="11" t="s">
        <v>10</v>
      </c>
      <c r="L232" t="str">
        <f t="shared" si="7"/>
        <v>5-10 Years</v>
      </c>
      <c r="P232"/>
      <c r="Q232"/>
      <c r="T232"/>
      <c r="U232"/>
      <c r="Y232"/>
      <c r="Z232"/>
      <c r="AA232"/>
    </row>
    <row r="233" spans="2:27" x14ac:dyDescent="0.3">
      <c r="B23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HCP_PDA2020MIDWEST31393</v>
      </c>
      <c r="C233" s="9" t="s">
        <v>17</v>
      </c>
      <c r="D233" s="10">
        <v>44103</v>
      </c>
      <c r="E233" s="10" t="str">
        <f t="shared" si="6"/>
        <v>2020</v>
      </c>
      <c r="F233" s="10">
        <v>44824</v>
      </c>
      <c r="G233" s="9">
        <v>31</v>
      </c>
      <c r="H233" s="9">
        <v>39</v>
      </c>
      <c r="I233" s="9">
        <v>3</v>
      </c>
      <c r="J233" s="9" t="s">
        <v>13</v>
      </c>
      <c r="K233" s="11" t="s">
        <v>10</v>
      </c>
      <c r="L233" t="str">
        <f t="shared" si="7"/>
        <v>5-10 Years</v>
      </c>
      <c r="P233"/>
      <c r="Q233"/>
      <c r="T233"/>
      <c r="U233"/>
      <c r="Y233"/>
      <c r="Z233"/>
      <c r="AA233"/>
    </row>
    <row r="234" spans="2:27" x14ac:dyDescent="0.3">
      <c r="B23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HCP_AI2021SOUTHEAST303913</v>
      </c>
      <c r="C234" s="9" t="s">
        <v>8</v>
      </c>
      <c r="D234" s="10">
        <v>44466</v>
      </c>
      <c r="E234" s="10" t="str">
        <f t="shared" si="6"/>
        <v>2021</v>
      </c>
      <c r="F234" s="10">
        <v>44823</v>
      </c>
      <c r="G234" s="9">
        <v>30</v>
      </c>
      <c r="H234" s="9">
        <v>39</v>
      </c>
      <c r="I234" s="9">
        <v>13</v>
      </c>
      <c r="J234" s="9" t="s">
        <v>19</v>
      </c>
      <c r="K234" s="11" t="s">
        <v>10</v>
      </c>
      <c r="L234" t="str">
        <f t="shared" si="7"/>
        <v>1-3 Years</v>
      </c>
      <c r="P234"/>
      <c r="Q234"/>
      <c r="T234"/>
      <c r="U234"/>
      <c r="Y234"/>
      <c r="Z234"/>
      <c r="AA234"/>
    </row>
    <row r="235" spans="2:27" x14ac:dyDescent="0.3">
      <c r="B23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HCP_AI2021SOUTHEAST30728</v>
      </c>
      <c r="C235" s="9" t="s">
        <v>8</v>
      </c>
      <c r="D235" s="10">
        <v>44368</v>
      </c>
      <c r="E235" s="10" t="str">
        <f t="shared" si="6"/>
        <v>2021</v>
      </c>
      <c r="F235" s="10">
        <v>44824</v>
      </c>
      <c r="G235" s="9">
        <v>30</v>
      </c>
      <c r="H235" s="9">
        <v>7</v>
      </c>
      <c r="I235" s="9">
        <v>28</v>
      </c>
      <c r="J235" s="9" t="s">
        <v>19</v>
      </c>
      <c r="K235" s="11" t="s">
        <v>10</v>
      </c>
      <c r="L235" t="str">
        <f t="shared" si="7"/>
        <v>10+ Years</v>
      </c>
      <c r="P235"/>
      <c r="Q235"/>
      <c r="T235"/>
      <c r="U235"/>
      <c r="Y235"/>
      <c r="Z235"/>
      <c r="AA235"/>
    </row>
    <row r="236" spans="2:27" x14ac:dyDescent="0.3">
      <c r="B236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HCP_PDA2020CENTRAL303510</v>
      </c>
      <c r="C236" s="9" t="s">
        <v>17</v>
      </c>
      <c r="D236" s="10">
        <v>44011</v>
      </c>
      <c r="E236" s="10" t="str">
        <f t="shared" si="6"/>
        <v>2020</v>
      </c>
      <c r="F236" s="10">
        <v>44819</v>
      </c>
      <c r="G236" s="9">
        <v>30</v>
      </c>
      <c r="H236" s="9">
        <v>35</v>
      </c>
      <c r="I236" s="9">
        <v>10</v>
      </c>
      <c r="J236" s="9" t="s">
        <v>14</v>
      </c>
      <c r="K236" s="11" t="s">
        <v>10</v>
      </c>
      <c r="L236" t="str">
        <f t="shared" si="7"/>
        <v>10+ Years</v>
      </c>
      <c r="P236"/>
      <c r="Q236"/>
      <c r="T236"/>
      <c r="U236"/>
      <c r="Y236"/>
      <c r="Z236"/>
      <c r="AA236"/>
    </row>
    <row r="237" spans="2:27" x14ac:dyDescent="0.3">
      <c r="B23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HCP_AI2021WEST29190</v>
      </c>
      <c r="C237" s="9" t="s">
        <v>8</v>
      </c>
      <c r="D237" s="10">
        <v>44522</v>
      </c>
      <c r="E237" s="10" t="str">
        <f t="shared" si="6"/>
        <v>2021</v>
      </c>
      <c r="F237" s="10">
        <v>44826</v>
      </c>
      <c r="G237" s="9">
        <v>29</v>
      </c>
      <c r="H237" s="9">
        <v>19</v>
      </c>
      <c r="I237" s="9">
        <v>0</v>
      </c>
      <c r="J237" s="9" t="s">
        <v>9</v>
      </c>
      <c r="K237" s="11" t="s">
        <v>10</v>
      </c>
      <c r="L237" t="str">
        <f t="shared" si="7"/>
        <v>5-10 Years</v>
      </c>
      <c r="P237"/>
      <c r="Q237"/>
      <c r="T237"/>
      <c r="U237"/>
      <c r="Y237"/>
      <c r="Z237"/>
      <c r="AA237"/>
    </row>
    <row r="238" spans="2:27" x14ac:dyDescent="0.3">
      <c r="B23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HCP_AI2020NORTHEAST294425</v>
      </c>
      <c r="C238" s="9" t="s">
        <v>8</v>
      </c>
      <c r="D238" s="10">
        <v>44027</v>
      </c>
      <c r="E238" s="10" t="str">
        <f t="shared" si="6"/>
        <v>2020</v>
      </c>
      <c r="F238" s="10">
        <v>44827</v>
      </c>
      <c r="G238" s="9">
        <v>29</v>
      </c>
      <c r="H238" s="9">
        <v>44</v>
      </c>
      <c r="I238" s="9">
        <v>25</v>
      </c>
      <c r="J238" s="9" t="s">
        <v>15</v>
      </c>
      <c r="K238" s="11" t="s">
        <v>10</v>
      </c>
      <c r="L238" t="str">
        <f t="shared" si="7"/>
        <v>0-1 Years</v>
      </c>
      <c r="P238"/>
      <c r="Q238"/>
      <c r="T238"/>
      <c r="U238"/>
      <c r="Y238"/>
      <c r="Z238"/>
      <c r="AA238"/>
    </row>
    <row r="239" spans="2:27" x14ac:dyDescent="0.3">
      <c r="B23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HCP_PDA2020SOUTHEAST293421</v>
      </c>
      <c r="C239" s="9" t="s">
        <v>17</v>
      </c>
      <c r="D239" s="10">
        <v>43901</v>
      </c>
      <c r="E239" s="10" t="str">
        <f t="shared" si="6"/>
        <v>2020</v>
      </c>
      <c r="F239" s="10">
        <v>44802</v>
      </c>
      <c r="G239" s="9">
        <v>29</v>
      </c>
      <c r="H239" s="9">
        <v>34</v>
      </c>
      <c r="I239" s="9">
        <v>21</v>
      </c>
      <c r="J239" s="9" t="s">
        <v>19</v>
      </c>
      <c r="K239" s="11" t="s">
        <v>10</v>
      </c>
      <c r="L239" t="str">
        <f t="shared" si="7"/>
        <v>10+ Years</v>
      </c>
      <c r="P239"/>
      <c r="Q239"/>
      <c r="T239"/>
      <c r="U239"/>
      <c r="Y239"/>
      <c r="Z239"/>
      <c r="AA239"/>
    </row>
    <row r="240" spans="2:27" x14ac:dyDescent="0.3">
      <c r="B24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HCP_AI2022WEST283728</v>
      </c>
      <c r="C240" s="9" t="s">
        <v>8</v>
      </c>
      <c r="D240" s="10">
        <v>44620</v>
      </c>
      <c r="E240" s="10" t="str">
        <f t="shared" si="6"/>
        <v>2022</v>
      </c>
      <c r="F240" s="10">
        <v>44818</v>
      </c>
      <c r="G240" s="9">
        <v>28</v>
      </c>
      <c r="H240" s="9">
        <v>37</v>
      </c>
      <c r="I240" s="9">
        <v>28</v>
      </c>
      <c r="J240" s="9" t="s">
        <v>9</v>
      </c>
      <c r="K240" s="11" t="s">
        <v>10</v>
      </c>
      <c r="L240" t="str">
        <f t="shared" si="7"/>
        <v>10+ Years</v>
      </c>
      <c r="P240"/>
      <c r="Q240"/>
      <c r="T240"/>
      <c r="U240"/>
      <c r="Y240"/>
      <c r="Z240"/>
      <c r="AA240"/>
    </row>
    <row r="241" spans="2:27" x14ac:dyDescent="0.3">
      <c r="B24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HCP_AI2021WEST283619</v>
      </c>
      <c r="C241" s="9" t="s">
        <v>8</v>
      </c>
      <c r="D241" s="10">
        <v>44410</v>
      </c>
      <c r="E241" s="10" t="str">
        <f t="shared" si="6"/>
        <v>2021</v>
      </c>
      <c r="F241" s="10">
        <v>44817</v>
      </c>
      <c r="G241" s="9">
        <v>28</v>
      </c>
      <c r="H241" s="9">
        <v>36</v>
      </c>
      <c r="I241" s="9">
        <v>19</v>
      </c>
      <c r="J241" s="9" t="s">
        <v>9</v>
      </c>
      <c r="K241" s="11" t="s">
        <v>10</v>
      </c>
      <c r="L241" t="str">
        <f t="shared" si="7"/>
        <v>10+ Years</v>
      </c>
      <c r="P241"/>
      <c r="Q241"/>
      <c r="T241"/>
      <c r="U241"/>
      <c r="Y241"/>
      <c r="Z241"/>
      <c r="AA241"/>
    </row>
    <row r="242" spans="2:27" x14ac:dyDescent="0.3">
      <c r="B24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HCP_AI2020SOUTHEAST282811</v>
      </c>
      <c r="C242" s="9" t="s">
        <v>8</v>
      </c>
      <c r="D242" s="10">
        <v>44194</v>
      </c>
      <c r="E242" s="10" t="str">
        <f t="shared" si="6"/>
        <v>2020</v>
      </c>
      <c r="F242" s="10">
        <v>44798</v>
      </c>
      <c r="G242" s="9">
        <v>28</v>
      </c>
      <c r="H242" s="9">
        <v>28</v>
      </c>
      <c r="I242" s="9">
        <v>11</v>
      </c>
      <c r="J242" s="9" t="s">
        <v>19</v>
      </c>
      <c r="K242" s="11" t="s">
        <v>10</v>
      </c>
      <c r="L242" t="str">
        <f t="shared" si="7"/>
        <v>10+ Years</v>
      </c>
      <c r="P242"/>
      <c r="Q242"/>
      <c r="T242"/>
      <c r="U242"/>
      <c r="Y242"/>
      <c r="Z242"/>
      <c r="AA242"/>
    </row>
    <row r="243" spans="2:27" x14ac:dyDescent="0.3">
      <c r="B24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HCP_AI2020SOUTHEAST282329</v>
      </c>
      <c r="C243" s="9" t="s">
        <v>8</v>
      </c>
      <c r="D243" s="10">
        <v>44193</v>
      </c>
      <c r="E243" s="10" t="str">
        <f t="shared" si="6"/>
        <v>2020</v>
      </c>
      <c r="F243" s="10">
        <v>44823</v>
      </c>
      <c r="G243" s="9">
        <v>28</v>
      </c>
      <c r="H243" s="9">
        <v>23</v>
      </c>
      <c r="I243" s="9">
        <v>29</v>
      </c>
      <c r="J243" s="9" t="s">
        <v>19</v>
      </c>
      <c r="K243" s="11" t="s">
        <v>10</v>
      </c>
      <c r="L243" t="str">
        <f t="shared" si="7"/>
        <v>10+ Years</v>
      </c>
      <c r="P243"/>
      <c r="Q243"/>
      <c r="T243"/>
      <c r="U243"/>
      <c r="Y243"/>
      <c r="Z243"/>
      <c r="AA243"/>
    </row>
    <row r="244" spans="2:27" x14ac:dyDescent="0.3">
      <c r="B244" s="8" t="str">
        <f>"HCP_"&amp;Table1[[#This Row],[Specialty]]&amp;Table1[[#This Row],[Rx_Start_Year]]&amp;Table1[[#This Row],[Area Name]]&amp;Table1[[#This Row],[Enrollments]]&amp;Table1[[#This Row],[NPS]]&amp;Table1[[#This Row],[Discontinuations]]</f>
        <v>HCP_IM2020NORTHEAST281512</v>
      </c>
      <c r="C244" s="9" t="s">
        <v>27</v>
      </c>
      <c r="D244" s="10">
        <v>44137</v>
      </c>
      <c r="E244" s="10" t="str">
        <f t="shared" si="6"/>
        <v>2020</v>
      </c>
      <c r="F244" s="10">
        <v>44166</v>
      </c>
      <c r="G244" s="9">
        <v>28</v>
      </c>
      <c r="H244" s="9">
        <v>15</v>
      </c>
      <c r="I244" s="9">
        <v>12</v>
      </c>
      <c r="J244" s="9" t="s">
        <v>15</v>
      </c>
      <c r="K244" s="11" t="s">
        <v>16</v>
      </c>
      <c r="L244" t="str">
        <f t="shared" si="7"/>
        <v>10+ Years</v>
      </c>
      <c r="P244"/>
      <c r="Q244"/>
      <c r="T244"/>
      <c r="U244"/>
      <c r="Y244"/>
      <c r="Z244"/>
      <c r="AA244"/>
    </row>
    <row r="245" spans="2:27" x14ac:dyDescent="0.3">
      <c r="B24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HCP_AI2020SOUTHEAST28125</v>
      </c>
      <c r="C245" s="9" t="s">
        <v>8</v>
      </c>
      <c r="D245" s="10">
        <v>44102</v>
      </c>
      <c r="E245" s="10" t="str">
        <f t="shared" si="6"/>
        <v>2020</v>
      </c>
      <c r="F245" s="10">
        <v>44819</v>
      </c>
      <c r="G245" s="9">
        <v>28</v>
      </c>
      <c r="H245" s="9">
        <v>1</v>
      </c>
      <c r="I245" s="9">
        <v>25</v>
      </c>
      <c r="J245" s="9" t="s">
        <v>19</v>
      </c>
      <c r="K245" s="11" t="s">
        <v>10</v>
      </c>
      <c r="L245" t="str">
        <f t="shared" si="7"/>
        <v>10+ Years</v>
      </c>
      <c r="P245"/>
      <c r="Q245"/>
      <c r="T245"/>
      <c r="U245"/>
      <c r="Y245"/>
      <c r="Z245"/>
      <c r="AA245"/>
    </row>
    <row r="246" spans="2:27" x14ac:dyDescent="0.3">
      <c r="B24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HCP_AI2020CENTRAL284620</v>
      </c>
      <c r="C246" s="9" t="s">
        <v>8</v>
      </c>
      <c r="D246" s="10">
        <v>44004</v>
      </c>
      <c r="E246" s="10" t="str">
        <f t="shared" si="6"/>
        <v>2020</v>
      </c>
      <c r="F246" s="10">
        <v>44642</v>
      </c>
      <c r="G246" s="9">
        <v>28</v>
      </c>
      <c r="H246" s="9">
        <v>46</v>
      </c>
      <c r="I246" s="9">
        <v>20</v>
      </c>
      <c r="J246" s="9" t="s">
        <v>14</v>
      </c>
      <c r="K246" s="11" t="s">
        <v>16</v>
      </c>
      <c r="L246" t="str">
        <f t="shared" si="7"/>
        <v>10+ Years</v>
      </c>
      <c r="P246"/>
      <c r="Q246"/>
      <c r="T246"/>
      <c r="U246"/>
      <c r="Y246"/>
      <c r="Z246"/>
      <c r="AA246"/>
    </row>
    <row r="247" spans="2:27" x14ac:dyDescent="0.3">
      <c r="B24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HCP_PDA2021WEST274516</v>
      </c>
      <c r="C247" s="9" t="s">
        <v>17</v>
      </c>
      <c r="D247" s="10">
        <v>44354</v>
      </c>
      <c r="E247" s="10" t="str">
        <f t="shared" si="6"/>
        <v>2021</v>
      </c>
      <c r="F247" s="10">
        <v>44819</v>
      </c>
      <c r="G247" s="9">
        <v>27</v>
      </c>
      <c r="H247" s="9">
        <v>45</v>
      </c>
      <c r="I247" s="9">
        <v>16</v>
      </c>
      <c r="J247" s="9" t="s">
        <v>9</v>
      </c>
      <c r="K247" s="11" t="s">
        <v>10</v>
      </c>
      <c r="L247" t="str">
        <f t="shared" si="7"/>
        <v>10+ Years</v>
      </c>
      <c r="P247"/>
      <c r="Q247"/>
      <c r="T247"/>
      <c r="U247"/>
      <c r="Y247"/>
      <c r="Z247"/>
      <c r="AA247"/>
    </row>
    <row r="248" spans="2:27" x14ac:dyDescent="0.3">
      <c r="B24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HCP_AI2021WEST2682</v>
      </c>
      <c r="C248" s="9" t="s">
        <v>8</v>
      </c>
      <c r="D248" s="10">
        <v>44448</v>
      </c>
      <c r="E248" s="10" t="str">
        <f t="shared" si="6"/>
        <v>2021</v>
      </c>
      <c r="F248" s="10">
        <v>44815</v>
      </c>
      <c r="G248" s="9">
        <v>26</v>
      </c>
      <c r="H248" s="9">
        <v>8</v>
      </c>
      <c r="I248" s="9">
        <v>2</v>
      </c>
      <c r="J248" s="9" t="s">
        <v>9</v>
      </c>
      <c r="K248" s="11" t="s">
        <v>10</v>
      </c>
      <c r="L248" t="str">
        <f t="shared" si="7"/>
        <v>10+ Years</v>
      </c>
      <c r="P248"/>
      <c r="Q248"/>
      <c r="T248"/>
      <c r="U248"/>
      <c r="Y248"/>
      <c r="Z248"/>
      <c r="AA248"/>
    </row>
    <row r="249" spans="2:27" x14ac:dyDescent="0.3">
      <c r="B24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HCP_PD2021WEST26403</v>
      </c>
      <c r="C249" s="9" t="s">
        <v>20</v>
      </c>
      <c r="D249" s="10">
        <v>44298</v>
      </c>
      <c r="E249" s="10" t="str">
        <f t="shared" si="6"/>
        <v>2021</v>
      </c>
      <c r="F249" s="10">
        <v>44298</v>
      </c>
      <c r="G249" s="9">
        <v>26</v>
      </c>
      <c r="H249" s="9">
        <v>40</v>
      </c>
      <c r="I249" s="9">
        <v>3</v>
      </c>
      <c r="J249" s="9" t="s">
        <v>9</v>
      </c>
      <c r="K249" s="11" t="s">
        <v>16</v>
      </c>
      <c r="L249" t="str">
        <f t="shared" si="7"/>
        <v>1-3 Years</v>
      </c>
      <c r="P249"/>
      <c r="Q249"/>
      <c r="T249"/>
      <c r="U249"/>
      <c r="Y249"/>
      <c r="Z249"/>
      <c r="AA249"/>
    </row>
    <row r="250" spans="2:27" x14ac:dyDescent="0.3">
      <c r="B25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HCP_AI2021MIDWEST2663</v>
      </c>
      <c r="C250" s="9" t="s">
        <v>8</v>
      </c>
      <c r="D250" s="10">
        <v>44277</v>
      </c>
      <c r="E250" s="10" t="str">
        <f t="shared" si="6"/>
        <v>2021</v>
      </c>
      <c r="F250" s="10">
        <v>44824</v>
      </c>
      <c r="G250" s="9">
        <v>26</v>
      </c>
      <c r="H250" s="9">
        <v>6</v>
      </c>
      <c r="I250" s="9">
        <v>3</v>
      </c>
      <c r="J250" s="9" t="s">
        <v>13</v>
      </c>
      <c r="K250" s="11" t="s">
        <v>10</v>
      </c>
      <c r="L250" t="str">
        <f t="shared" si="7"/>
        <v>1-3 Years</v>
      </c>
      <c r="P250"/>
      <c r="Q250"/>
      <c r="T250"/>
      <c r="U250"/>
      <c r="Y250"/>
      <c r="Z250"/>
      <c r="AA250"/>
    </row>
    <row r="251" spans="2:27" x14ac:dyDescent="0.3">
      <c r="B25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HCP_AI2020CENTRAL26197</v>
      </c>
      <c r="C251" s="9" t="s">
        <v>8</v>
      </c>
      <c r="D251" s="10">
        <v>44130</v>
      </c>
      <c r="E251" s="10" t="str">
        <f t="shared" si="6"/>
        <v>2020</v>
      </c>
      <c r="F251" s="10">
        <v>44824</v>
      </c>
      <c r="G251" s="9">
        <v>26</v>
      </c>
      <c r="H251" s="9">
        <v>19</v>
      </c>
      <c r="I251" s="9">
        <v>7</v>
      </c>
      <c r="J251" s="9" t="s">
        <v>14</v>
      </c>
      <c r="K251" s="11" t="s">
        <v>10</v>
      </c>
      <c r="L251" t="str">
        <f t="shared" si="7"/>
        <v>1-3 Years</v>
      </c>
      <c r="P251"/>
      <c r="Q251"/>
      <c r="T251"/>
      <c r="U251"/>
      <c r="Y251"/>
      <c r="Z251"/>
      <c r="AA251"/>
    </row>
    <row r="252" spans="2:27" x14ac:dyDescent="0.3">
      <c r="B252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HCP_FM2021CENTRAL254825</v>
      </c>
      <c r="C252" s="9" t="s">
        <v>18</v>
      </c>
      <c r="D252" s="10">
        <v>44340</v>
      </c>
      <c r="E252" s="10" t="str">
        <f t="shared" si="6"/>
        <v>2021</v>
      </c>
      <c r="F252" s="10">
        <v>44817</v>
      </c>
      <c r="G252" s="9">
        <v>25</v>
      </c>
      <c r="H252" s="9">
        <v>48</v>
      </c>
      <c r="I252" s="9">
        <v>25</v>
      </c>
      <c r="J252" s="9" t="s">
        <v>14</v>
      </c>
      <c r="K252" s="11" t="s">
        <v>10</v>
      </c>
      <c r="L252" t="str">
        <f t="shared" si="7"/>
        <v>5-10 Years</v>
      </c>
      <c r="P252"/>
      <c r="Q252"/>
      <c r="T252"/>
      <c r="U252"/>
      <c r="Y252"/>
      <c r="Z252"/>
      <c r="AA252"/>
    </row>
    <row r="253" spans="2:27" x14ac:dyDescent="0.3">
      <c r="B25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HCP_AI2021NORTHEAST2522</v>
      </c>
      <c r="C253" s="9" t="s">
        <v>8</v>
      </c>
      <c r="D253" s="10">
        <v>44363</v>
      </c>
      <c r="E253" s="10" t="str">
        <f t="shared" si="6"/>
        <v>2021</v>
      </c>
      <c r="F253" s="10">
        <v>44825</v>
      </c>
      <c r="G253" s="9">
        <v>25</v>
      </c>
      <c r="H253" s="9">
        <v>2</v>
      </c>
      <c r="I253" s="9">
        <v>2</v>
      </c>
      <c r="J253" s="9" t="s">
        <v>15</v>
      </c>
      <c r="K253" s="11" t="s">
        <v>10</v>
      </c>
      <c r="L253" t="str">
        <f t="shared" si="7"/>
        <v>10+ Years</v>
      </c>
      <c r="P253"/>
      <c r="Q253"/>
      <c r="T253"/>
      <c r="U253"/>
      <c r="Y253"/>
      <c r="Z253"/>
      <c r="AA253"/>
    </row>
    <row r="254" spans="2:27" x14ac:dyDescent="0.3">
      <c r="B25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HCP_AI2020MIDWEST2549</v>
      </c>
      <c r="C254" s="9" t="s">
        <v>8</v>
      </c>
      <c r="D254" s="10">
        <v>44131</v>
      </c>
      <c r="E254" s="10" t="str">
        <f t="shared" si="6"/>
        <v>2020</v>
      </c>
      <c r="F254" s="10">
        <v>44825</v>
      </c>
      <c r="G254" s="9">
        <v>25</v>
      </c>
      <c r="H254" s="9">
        <v>4</v>
      </c>
      <c r="I254" s="9">
        <v>9</v>
      </c>
      <c r="J254" s="9" t="s">
        <v>13</v>
      </c>
      <c r="K254" s="11" t="s">
        <v>10</v>
      </c>
      <c r="L254" t="str">
        <f t="shared" si="7"/>
        <v>1-3 Years</v>
      </c>
      <c r="P254"/>
      <c r="Q254"/>
      <c r="T254"/>
      <c r="U254"/>
      <c r="Y254"/>
      <c r="Z254"/>
      <c r="AA254"/>
    </row>
    <row r="255" spans="2:27" x14ac:dyDescent="0.3">
      <c r="B25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HCP_AI2020CENTRAL25247</v>
      </c>
      <c r="C255" s="9" t="s">
        <v>8</v>
      </c>
      <c r="D255" s="10">
        <v>43963</v>
      </c>
      <c r="E255" s="10" t="str">
        <f t="shared" si="6"/>
        <v>2020</v>
      </c>
      <c r="F255" s="10">
        <v>44818</v>
      </c>
      <c r="G255" s="9">
        <v>25</v>
      </c>
      <c r="H255" s="9">
        <v>24</v>
      </c>
      <c r="I255" s="9">
        <v>7</v>
      </c>
      <c r="J255" s="9" t="s">
        <v>14</v>
      </c>
      <c r="K255" s="11" t="s">
        <v>10</v>
      </c>
      <c r="L255" t="str">
        <f t="shared" si="7"/>
        <v>5-10 Years</v>
      </c>
      <c r="P255"/>
      <c r="Q255"/>
      <c r="T255"/>
      <c r="U255"/>
      <c r="Y255"/>
      <c r="Z255"/>
      <c r="AA255"/>
    </row>
    <row r="256" spans="2:27" x14ac:dyDescent="0.3">
      <c r="B25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HCP_AI2021CENTRAL24224</v>
      </c>
      <c r="C256" s="9" t="s">
        <v>8</v>
      </c>
      <c r="D256" s="10">
        <v>44509</v>
      </c>
      <c r="E256" s="10" t="str">
        <f t="shared" si="6"/>
        <v>2021</v>
      </c>
      <c r="F256" s="10">
        <v>44818</v>
      </c>
      <c r="G256" s="9">
        <v>24</v>
      </c>
      <c r="H256" s="9">
        <v>22</v>
      </c>
      <c r="I256" s="9">
        <v>4</v>
      </c>
      <c r="J256" s="9" t="s">
        <v>14</v>
      </c>
      <c r="K256" s="11" t="s">
        <v>10</v>
      </c>
      <c r="L256" t="str">
        <f t="shared" si="7"/>
        <v>5-10 Years</v>
      </c>
      <c r="P256"/>
      <c r="Q256"/>
      <c r="T256"/>
      <c r="U256"/>
      <c r="Y256"/>
      <c r="Z256"/>
      <c r="AA256"/>
    </row>
    <row r="257" spans="2:27" x14ac:dyDescent="0.3">
      <c r="B25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HCP_AI2021CENTRAL241422</v>
      </c>
      <c r="C257" s="9" t="s">
        <v>8</v>
      </c>
      <c r="D257" s="10">
        <v>44418</v>
      </c>
      <c r="E257" s="10" t="str">
        <f t="shared" si="6"/>
        <v>2021</v>
      </c>
      <c r="F257" s="10">
        <v>44824</v>
      </c>
      <c r="G257" s="9">
        <v>24</v>
      </c>
      <c r="H257" s="9">
        <v>14</v>
      </c>
      <c r="I257" s="9">
        <v>22</v>
      </c>
      <c r="J257" s="9" t="s">
        <v>14</v>
      </c>
      <c r="K257" s="11" t="s">
        <v>10</v>
      </c>
      <c r="L257" t="str">
        <f t="shared" si="7"/>
        <v>3-5 Years</v>
      </c>
      <c r="P257"/>
      <c r="Q257"/>
      <c r="T257"/>
      <c r="U257"/>
      <c r="Y257"/>
      <c r="Z257"/>
      <c r="AA257"/>
    </row>
    <row r="258" spans="2:27" x14ac:dyDescent="0.3">
      <c r="B25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HCP_AI2021NORTHEAST243220</v>
      </c>
      <c r="C258" s="9" t="s">
        <v>8</v>
      </c>
      <c r="D258" s="10">
        <v>44314</v>
      </c>
      <c r="E258" s="10" t="str">
        <f t="shared" ref="E258:E321" si="8">TEXT(D258,"yyyy")</f>
        <v>2021</v>
      </c>
      <c r="F258" s="10">
        <v>44803</v>
      </c>
      <c r="G258" s="9">
        <v>24</v>
      </c>
      <c r="H258" s="9">
        <v>32</v>
      </c>
      <c r="I258" s="9">
        <v>20</v>
      </c>
      <c r="J258" s="9" t="s">
        <v>15</v>
      </c>
      <c r="K258" s="11" t="s">
        <v>10</v>
      </c>
      <c r="L258" t="str">
        <f t="shared" ref="L258:L321" si="9">IF(I257&lt;=1,"0-1 Years",
IF(I257&lt;=3,"1-3 Years",
IF(I257&lt;=5,"3-5 Years",
IF(I257&lt;=10,"5-10 Years",
"10+ Years"))))</f>
        <v>10+ Years</v>
      </c>
      <c r="P258"/>
      <c r="Q258"/>
      <c r="T258"/>
      <c r="U258"/>
      <c r="Y258"/>
      <c r="Z258"/>
      <c r="AA258"/>
    </row>
    <row r="259" spans="2:27" x14ac:dyDescent="0.3">
      <c r="B25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HCP_PDA2021MIDWEST242526</v>
      </c>
      <c r="C259" s="9" t="s">
        <v>17</v>
      </c>
      <c r="D259" s="10">
        <v>44235</v>
      </c>
      <c r="E259" s="10" t="str">
        <f t="shared" si="8"/>
        <v>2021</v>
      </c>
      <c r="F259" s="10">
        <v>44820</v>
      </c>
      <c r="G259" s="9">
        <v>24</v>
      </c>
      <c r="H259" s="9">
        <v>25</v>
      </c>
      <c r="I259" s="9">
        <v>26</v>
      </c>
      <c r="J259" s="9" t="s">
        <v>13</v>
      </c>
      <c r="K259" s="11" t="s">
        <v>10</v>
      </c>
      <c r="L259" t="str">
        <f t="shared" si="9"/>
        <v>10+ Years</v>
      </c>
      <c r="P259"/>
      <c r="Q259"/>
      <c r="T259"/>
      <c r="U259"/>
      <c r="Y259"/>
      <c r="Z259"/>
      <c r="AA259"/>
    </row>
    <row r="260" spans="2:27" x14ac:dyDescent="0.3">
      <c r="B26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HCP_AI2020WEST243517</v>
      </c>
      <c r="C260" s="9" t="s">
        <v>8</v>
      </c>
      <c r="D260" s="10">
        <v>44123</v>
      </c>
      <c r="E260" s="10" t="str">
        <f t="shared" si="8"/>
        <v>2020</v>
      </c>
      <c r="F260" s="10">
        <v>44818</v>
      </c>
      <c r="G260" s="9">
        <v>24</v>
      </c>
      <c r="H260" s="9">
        <v>35</v>
      </c>
      <c r="I260" s="9">
        <v>17</v>
      </c>
      <c r="J260" s="9" t="s">
        <v>9</v>
      </c>
      <c r="K260" s="11" t="s">
        <v>10</v>
      </c>
      <c r="L260" t="str">
        <f t="shared" si="9"/>
        <v>10+ Years</v>
      </c>
      <c r="P260"/>
      <c r="Q260"/>
      <c r="T260"/>
      <c r="U260"/>
      <c r="Y260"/>
      <c r="Z260"/>
      <c r="AA260"/>
    </row>
    <row r="261" spans="2:27" x14ac:dyDescent="0.3">
      <c r="B26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HCP_AI2020WEST245014</v>
      </c>
      <c r="C261" s="9" t="s">
        <v>8</v>
      </c>
      <c r="D261" s="10">
        <v>44060</v>
      </c>
      <c r="E261" s="10" t="str">
        <f t="shared" si="8"/>
        <v>2020</v>
      </c>
      <c r="F261" s="10">
        <v>44825</v>
      </c>
      <c r="G261" s="9">
        <v>24</v>
      </c>
      <c r="H261" s="9">
        <v>50</v>
      </c>
      <c r="I261" s="9">
        <v>14</v>
      </c>
      <c r="J261" s="9" t="s">
        <v>9</v>
      </c>
      <c r="K261" s="11" t="s">
        <v>10</v>
      </c>
      <c r="L261" t="str">
        <f t="shared" si="9"/>
        <v>10+ Years</v>
      </c>
      <c r="P261"/>
      <c r="Q261"/>
      <c r="T261"/>
      <c r="U261"/>
      <c r="Y261"/>
      <c r="Z261"/>
      <c r="AA261"/>
    </row>
    <row r="262" spans="2:27" x14ac:dyDescent="0.3">
      <c r="B26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HCP_AI2021NORTHEAST232212</v>
      </c>
      <c r="C262" s="9" t="s">
        <v>8</v>
      </c>
      <c r="D262" s="10">
        <v>44453</v>
      </c>
      <c r="E262" s="10" t="str">
        <f t="shared" si="8"/>
        <v>2021</v>
      </c>
      <c r="F262" s="10">
        <v>44719</v>
      </c>
      <c r="G262" s="9">
        <v>23</v>
      </c>
      <c r="H262" s="9">
        <v>22</v>
      </c>
      <c r="I262" s="9">
        <v>12</v>
      </c>
      <c r="J262" s="9" t="s">
        <v>15</v>
      </c>
      <c r="K262" s="11" t="s">
        <v>16</v>
      </c>
      <c r="L262" t="str">
        <f t="shared" si="9"/>
        <v>10+ Years</v>
      </c>
      <c r="P262"/>
      <c r="Q262"/>
      <c r="T262"/>
      <c r="U262"/>
      <c r="Y262"/>
      <c r="Z262"/>
      <c r="AA262"/>
    </row>
    <row r="263" spans="2:27" x14ac:dyDescent="0.3">
      <c r="B26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HCP_PDA2021CENTRAL23345</v>
      </c>
      <c r="C263" s="9" t="s">
        <v>17</v>
      </c>
      <c r="D263" s="10">
        <v>44433</v>
      </c>
      <c r="E263" s="10" t="str">
        <f t="shared" si="8"/>
        <v>2021</v>
      </c>
      <c r="F263" s="10">
        <v>44713</v>
      </c>
      <c r="G263" s="9">
        <v>23</v>
      </c>
      <c r="H263" s="9">
        <v>34</v>
      </c>
      <c r="I263" s="9">
        <v>5</v>
      </c>
      <c r="J263" s="9" t="s">
        <v>14</v>
      </c>
      <c r="K263" s="11" t="s">
        <v>16</v>
      </c>
      <c r="L263" t="str">
        <f t="shared" si="9"/>
        <v>10+ Years</v>
      </c>
      <c r="P263"/>
      <c r="Q263"/>
      <c r="T263"/>
      <c r="U263"/>
      <c r="Y263"/>
      <c r="Z263"/>
      <c r="AA263"/>
    </row>
    <row r="264" spans="2:27" x14ac:dyDescent="0.3">
      <c r="B26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HCP_AI2020MIDWEST23242</v>
      </c>
      <c r="C264" s="9" t="s">
        <v>8</v>
      </c>
      <c r="D264" s="10">
        <v>43930</v>
      </c>
      <c r="E264" s="10" t="str">
        <f t="shared" si="8"/>
        <v>2020</v>
      </c>
      <c r="F264" s="10">
        <v>44826</v>
      </c>
      <c r="G264" s="9">
        <v>23</v>
      </c>
      <c r="H264" s="9">
        <v>24</v>
      </c>
      <c r="I264" s="9">
        <v>2</v>
      </c>
      <c r="J264" s="9" t="s">
        <v>13</v>
      </c>
      <c r="K264" s="11" t="s">
        <v>10</v>
      </c>
      <c r="L264" t="str">
        <f t="shared" si="9"/>
        <v>3-5 Years</v>
      </c>
      <c r="P264"/>
      <c r="Q264"/>
      <c r="T264"/>
      <c r="U264"/>
      <c r="Y264"/>
      <c r="Z264"/>
      <c r="AA264"/>
    </row>
    <row r="265" spans="2:27" x14ac:dyDescent="0.3">
      <c r="B26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HCP_AI2020NORTHEAST231216</v>
      </c>
      <c r="C265" s="9" t="s">
        <v>8</v>
      </c>
      <c r="D265" s="10">
        <v>44019</v>
      </c>
      <c r="E265" s="10" t="str">
        <f t="shared" si="8"/>
        <v>2020</v>
      </c>
      <c r="F265" s="10">
        <v>44816</v>
      </c>
      <c r="G265" s="9">
        <v>23</v>
      </c>
      <c r="H265" s="9">
        <v>12</v>
      </c>
      <c r="I265" s="9">
        <v>16</v>
      </c>
      <c r="J265" s="9" t="s">
        <v>15</v>
      </c>
      <c r="K265" s="11" t="s">
        <v>10</v>
      </c>
      <c r="L265" t="str">
        <f t="shared" si="9"/>
        <v>1-3 Years</v>
      </c>
      <c r="P265"/>
      <c r="Q265"/>
      <c r="T265"/>
      <c r="U265"/>
      <c r="Y265"/>
      <c r="Z265"/>
      <c r="AA265"/>
    </row>
    <row r="266" spans="2:27" x14ac:dyDescent="0.3">
      <c r="B26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HCP_AI2020NORTHEAST232217</v>
      </c>
      <c r="C266" s="9" t="s">
        <v>8</v>
      </c>
      <c r="D266" s="10">
        <v>44039</v>
      </c>
      <c r="E266" s="10" t="str">
        <f t="shared" si="8"/>
        <v>2020</v>
      </c>
      <c r="F266" s="10">
        <v>44796</v>
      </c>
      <c r="G266" s="9">
        <v>23</v>
      </c>
      <c r="H266" s="9">
        <v>22</v>
      </c>
      <c r="I266" s="9">
        <v>17</v>
      </c>
      <c r="J266" s="9" t="s">
        <v>15</v>
      </c>
      <c r="K266" s="11" t="s">
        <v>10</v>
      </c>
      <c r="L266" t="str">
        <f t="shared" si="9"/>
        <v>10+ Years</v>
      </c>
      <c r="P266"/>
      <c r="Q266"/>
      <c r="T266"/>
      <c r="U266"/>
      <c r="Y266"/>
      <c r="Z266"/>
      <c r="AA266"/>
    </row>
    <row r="267" spans="2:27" x14ac:dyDescent="0.3">
      <c r="B26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HCP_AI2020WEST223726</v>
      </c>
      <c r="C267" s="9" t="s">
        <v>8</v>
      </c>
      <c r="D267" s="10">
        <v>44103</v>
      </c>
      <c r="E267" s="10" t="str">
        <f t="shared" si="8"/>
        <v>2020</v>
      </c>
      <c r="F267" s="10">
        <v>44824</v>
      </c>
      <c r="G267" s="9">
        <v>22</v>
      </c>
      <c r="H267" s="9">
        <v>37</v>
      </c>
      <c r="I267" s="9">
        <v>26</v>
      </c>
      <c r="J267" s="9" t="s">
        <v>9</v>
      </c>
      <c r="K267" s="11" t="s">
        <v>10</v>
      </c>
      <c r="L267" t="str">
        <f t="shared" si="9"/>
        <v>10+ Years</v>
      </c>
      <c r="P267"/>
      <c r="Q267"/>
      <c r="T267"/>
      <c r="U267"/>
      <c r="Y267"/>
      <c r="Z267"/>
      <c r="AA267"/>
    </row>
    <row r="268" spans="2:27" x14ac:dyDescent="0.3">
      <c r="B26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HCP_AI2021CENTRAL22529</v>
      </c>
      <c r="C268" s="9" t="s">
        <v>8</v>
      </c>
      <c r="D268" s="10">
        <v>44202</v>
      </c>
      <c r="E268" s="10" t="str">
        <f t="shared" si="8"/>
        <v>2021</v>
      </c>
      <c r="F268" s="10">
        <v>44732</v>
      </c>
      <c r="G268" s="9">
        <v>22</v>
      </c>
      <c r="H268" s="9">
        <v>5</v>
      </c>
      <c r="I268" s="9">
        <v>29</v>
      </c>
      <c r="J268" s="9" t="s">
        <v>14</v>
      </c>
      <c r="K268" s="11" t="s">
        <v>16</v>
      </c>
      <c r="L268" t="str">
        <f t="shared" si="9"/>
        <v>10+ Years</v>
      </c>
      <c r="P268"/>
      <c r="Q268"/>
      <c r="T268"/>
      <c r="U268"/>
      <c r="Y268"/>
      <c r="Z268"/>
      <c r="AA268"/>
    </row>
    <row r="269" spans="2:27" x14ac:dyDescent="0.3">
      <c r="B26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HCP_AI2020MIDWEST223920</v>
      </c>
      <c r="C269" s="9" t="s">
        <v>8</v>
      </c>
      <c r="D269" s="10">
        <v>43992</v>
      </c>
      <c r="E269" s="10" t="str">
        <f t="shared" si="8"/>
        <v>2020</v>
      </c>
      <c r="F269" s="10">
        <v>44826</v>
      </c>
      <c r="G269" s="9">
        <v>22</v>
      </c>
      <c r="H269" s="9">
        <v>39</v>
      </c>
      <c r="I269" s="9">
        <v>20</v>
      </c>
      <c r="J269" s="9" t="s">
        <v>13</v>
      </c>
      <c r="K269" s="11" t="s">
        <v>10</v>
      </c>
      <c r="L269" t="str">
        <f t="shared" si="9"/>
        <v>10+ Years</v>
      </c>
      <c r="P269"/>
      <c r="Q269"/>
      <c r="T269"/>
      <c r="U269"/>
      <c r="Y269"/>
      <c r="Z269"/>
      <c r="AA269"/>
    </row>
    <row r="270" spans="2:27" x14ac:dyDescent="0.3">
      <c r="B27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HCP_AI2020SOUTHEAST221320</v>
      </c>
      <c r="C270" s="9" t="s">
        <v>8</v>
      </c>
      <c r="D270" s="10">
        <v>43972</v>
      </c>
      <c r="E270" s="10" t="str">
        <f t="shared" si="8"/>
        <v>2020</v>
      </c>
      <c r="F270" s="10">
        <v>44812</v>
      </c>
      <c r="G270" s="9">
        <v>22</v>
      </c>
      <c r="H270" s="9">
        <v>13</v>
      </c>
      <c r="I270" s="9">
        <v>20</v>
      </c>
      <c r="J270" s="9" t="s">
        <v>19</v>
      </c>
      <c r="K270" s="11" t="s">
        <v>10</v>
      </c>
      <c r="L270" t="str">
        <f t="shared" si="9"/>
        <v>10+ Years</v>
      </c>
      <c r="P270"/>
      <c r="Q270"/>
      <c r="T270"/>
      <c r="U270"/>
      <c r="Y270"/>
      <c r="Z270"/>
      <c r="AA270"/>
    </row>
    <row r="271" spans="2:27" x14ac:dyDescent="0.3">
      <c r="B27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HCP_AI2021NORTHEAST212610</v>
      </c>
      <c r="C271" s="9" t="s">
        <v>8</v>
      </c>
      <c r="D271" s="10">
        <v>44469</v>
      </c>
      <c r="E271" s="10" t="str">
        <f t="shared" si="8"/>
        <v>2021</v>
      </c>
      <c r="F271" s="10">
        <v>44819</v>
      </c>
      <c r="G271" s="9">
        <v>21</v>
      </c>
      <c r="H271" s="9">
        <v>26</v>
      </c>
      <c r="I271" s="9">
        <v>10</v>
      </c>
      <c r="J271" s="9" t="s">
        <v>15</v>
      </c>
      <c r="K271" s="11" t="s">
        <v>10</v>
      </c>
      <c r="L271" t="str">
        <f t="shared" si="9"/>
        <v>10+ Years</v>
      </c>
      <c r="P271"/>
      <c r="Q271"/>
      <c r="T271"/>
      <c r="U271"/>
      <c r="Y271"/>
      <c r="Z271"/>
      <c r="AA271"/>
    </row>
    <row r="272" spans="2:27" x14ac:dyDescent="0.3">
      <c r="B27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HCP_PDA2021SOUTHEAST21371</v>
      </c>
      <c r="C272" s="9" t="s">
        <v>17</v>
      </c>
      <c r="D272" s="10">
        <v>44391</v>
      </c>
      <c r="E272" s="10" t="str">
        <f t="shared" si="8"/>
        <v>2021</v>
      </c>
      <c r="F272" s="10">
        <v>44826</v>
      </c>
      <c r="G272" s="9">
        <v>21</v>
      </c>
      <c r="H272" s="9">
        <v>37</v>
      </c>
      <c r="I272" s="9">
        <v>1</v>
      </c>
      <c r="J272" s="9" t="s">
        <v>19</v>
      </c>
      <c r="K272" s="11" t="s">
        <v>10</v>
      </c>
      <c r="L272" t="str">
        <f t="shared" si="9"/>
        <v>5-10 Years</v>
      </c>
      <c r="P272"/>
      <c r="Q272"/>
      <c r="T272"/>
      <c r="U272"/>
      <c r="Y272"/>
      <c r="Z272"/>
      <c r="AA272"/>
    </row>
    <row r="273" spans="2:27" x14ac:dyDescent="0.3">
      <c r="B27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HCP_AI2021CENTRAL213423</v>
      </c>
      <c r="C273" s="9" t="s">
        <v>8</v>
      </c>
      <c r="D273" s="10">
        <v>44334</v>
      </c>
      <c r="E273" s="10" t="str">
        <f t="shared" si="8"/>
        <v>2021</v>
      </c>
      <c r="F273" s="10">
        <v>44818</v>
      </c>
      <c r="G273" s="9">
        <v>21</v>
      </c>
      <c r="H273" s="9">
        <v>34</v>
      </c>
      <c r="I273" s="9">
        <v>23</v>
      </c>
      <c r="J273" s="9" t="s">
        <v>14</v>
      </c>
      <c r="K273" s="11" t="s">
        <v>10</v>
      </c>
      <c r="L273" t="str">
        <f t="shared" si="9"/>
        <v>0-1 Years</v>
      </c>
      <c r="P273"/>
      <c r="Q273"/>
      <c r="T273"/>
      <c r="U273"/>
      <c r="Y273"/>
      <c r="Z273"/>
      <c r="AA273"/>
    </row>
    <row r="274" spans="2:27" x14ac:dyDescent="0.3">
      <c r="B27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HCP_PDA2021MIDWEST214722</v>
      </c>
      <c r="C274" s="9" t="s">
        <v>17</v>
      </c>
      <c r="D274" s="10">
        <v>44284</v>
      </c>
      <c r="E274" s="10" t="str">
        <f t="shared" si="8"/>
        <v>2021</v>
      </c>
      <c r="F274" s="10">
        <v>44818</v>
      </c>
      <c r="G274" s="9">
        <v>21</v>
      </c>
      <c r="H274" s="9">
        <v>47</v>
      </c>
      <c r="I274" s="9">
        <v>22</v>
      </c>
      <c r="J274" s="9" t="s">
        <v>13</v>
      </c>
      <c r="K274" s="11" t="s">
        <v>10</v>
      </c>
      <c r="L274" t="str">
        <f t="shared" si="9"/>
        <v>10+ Years</v>
      </c>
      <c r="P274"/>
      <c r="Q274"/>
      <c r="T274"/>
      <c r="U274"/>
      <c r="Y274"/>
      <c r="Z274"/>
      <c r="AA274"/>
    </row>
    <row r="275" spans="2:27" x14ac:dyDescent="0.3">
      <c r="B27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HCP_AI2021NORTHEAST214815</v>
      </c>
      <c r="C275" s="9" t="s">
        <v>8</v>
      </c>
      <c r="D275" s="10">
        <v>44265</v>
      </c>
      <c r="E275" s="10" t="str">
        <f t="shared" si="8"/>
        <v>2021</v>
      </c>
      <c r="F275" s="10">
        <v>44810</v>
      </c>
      <c r="G275" s="9">
        <v>21</v>
      </c>
      <c r="H275" s="9">
        <v>48</v>
      </c>
      <c r="I275" s="9">
        <v>15</v>
      </c>
      <c r="J275" s="9" t="s">
        <v>15</v>
      </c>
      <c r="K275" s="11" t="s">
        <v>10</v>
      </c>
      <c r="L275" t="str">
        <f t="shared" si="9"/>
        <v>10+ Years</v>
      </c>
      <c r="O275" s="1"/>
      <c r="P275" s="6"/>
      <c r="Q275" s="7"/>
      <c r="T275"/>
      <c r="U275"/>
      <c r="Y275"/>
      <c r="Z275"/>
      <c r="AA275"/>
    </row>
    <row r="276" spans="2:27" x14ac:dyDescent="0.3">
      <c r="B27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HCP_AI2020MIDWEST214626</v>
      </c>
      <c r="C276" s="9" t="s">
        <v>8</v>
      </c>
      <c r="D276" s="10">
        <v>44068</v>
      </c>
      <c r="E276" s="10" t="str">
        <f t="shared" si="8"/>
        <v>2020</v>
      </c>
      <c r="F276" s="10">
        <v>44438</v>
      </c>
      <c r="G276" s="9">
        <v>21</v>
      </c>
      <c r="H276" s="9">
        <v>46</v>
      </c>
      <c r="I276" s="9">
        <v>26</v>
      </c>
      <c r="J276" s="9" t="s">
        <v>13</v>
      </c>
      <c r="K276" s="11" t="s">
        <v>16</v>
      </c>
      <c r="L276" t="str">
        <f t="shared" si="9"/>
        <v>10+ Years</v>
      </c>
      <c r="O276" s="1"/>
      <c r="P276" s="6"/>
      <c r="Q276" s="7"/>
      <c r="T276"/>
      <c r="U276"/>
      <c r="Y276"/>
      <c r="Z276"/>
      <c r="AA276"/>
    </row>
    <row r="277" spans="2:27" x14ac:dyDescent="0.3">
      <c r="B27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HCP_AI2020MIDWEST21351</v>
      </c>
      <c r="C277" s="9" t="s">
        <v>8</v>
      </c>
      <c r="D277" s="10">
        <v>44067</v>
      </c>
      <c r="E277" s="10" t="str">
        <f t="shared" si="8"/>
        <v>2020</v>
      </c>
      <c r="F277" s="10">
        <v>44824</v>
      </c>
      <c r="G277" s="9">
        <v>21</v>
      </c>
      <c r="H277" s="9">
        <v>35</v>
      </c>
      <c r="I277" s="9">
        <v>1</v>
      </c>
      <c r="J277" s="9" t="s">
        <v>13</v>
      </c>
      <c r="K277" s="11" t="s">
        <v>10</v>
      </c>
      <c r="L277" t="str">
        <f t="shared" si="9"/>
        <v>10+ Years</v>
      </c>
      <c r="O277" s="1"/>
      <c r="P277" s="6"/>
      <c r="Q277" s="7"/>
      <c r="T277"/>
      <c r="U277"/>
      <c r="Y277"/>
      <c r="Z277"/>
      <c r="AA277"/>
    </row>
    <row r="278" spans="2:27" x14ac:dyDescent="0.3">
      <c r="B27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HCP_AI2020MIDWEST211217</v>
      </c>
      <c r="C278" s="9" t="s">
        <v>8</v>
      </c>
      <c r="D278" s="10">
        <v>44025</v>
      </c>
      <c r="E278" s="10" t="str">
        <f t="shared" si="8"/>
        <v>2020</v>
      </c>
      <c r="F278" s="10">
        <v>44400</v>
      </c>
      <c r="G278" s="9">
        <v>21</v>
      </c>
      <c r="H278" s="9">
        <v>12</v>
      </c>
      <c r="I278" s="9">
        <v>17</v>
      </c>
      <c r="J278" s="9" t="s">
        <v>13</v>
      </c>
      <c r="K278" s="11" t="s">
        <v>16</v>
      </c>
      <c r="L278" t="str">
        <f t="shared" si="9"/>
        <v>0-1 Years</v>
      </c>
      <c r="O278" s="1"/>
      <c r="P278" s="6"/>
      <c r="Q278" s="7"/>
      <c r="T278"/>
      <c r="U278"/>
      <c r="Y278"/>
      <c r="Z278"/>
      <c r="AA278"/>
    </row>
    <row r="279" spans="2:27" x14ac:dyDescent="0.3">
      <c r="B279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HCP_PD2020MIDWEST21118</v>
      </c>
      <c r="C279" s="9" t="s">
        <v>20</v>
      </c>
      <c r="D279" s="10">
        <v>43997</v>
      </c>
      <c r="E279" s="10" t="str">
        <f t="shared" si="8"/>
        <v>2020</v>
      </c>
      <c r="F279" s="10">
        <v>44827</v>
      </c>
      <c r="G279" s="9">
        <v>21</v>
      </c>
      <c r="H279" s="9">
        <v>11</v>
      </c>
      <c r="I279" s="9">
        <v>8</v>
      </c>
      <c r="J279" s="9" t="s">
        <v>13</v>
      </c>
      <c r="K279" s="11" t="s">
        <v>10</v>
      </c>
      <c r="L279" t="str">
        <f t="shared" si="9"/>
        <v>10+ Years</v>
      </c>
      <c r="O279" s="1"/>
      <c r="P279" s="6"/>
      <c r="Q279" s="7"/>
      <c r="T279"/>
      <c r="U279"/>
      <c r="Y279"/>
      <c r="Z279"/>
      <c r="AA279"/>
    </row>
    <row r="280" spans="2:27" x14ac:dyDescent="0.3">
      <c r="B28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HCP_AI2021CENTRAL20812</v>
      </c>
      <c r="C280" s="9" t="s">
        <v>8</v>
      </c>
      <c r="D280" s="10">
        <v>44493</v>
      </c>
      <c r="E280" s="10" t="str">
        <f t="shared" si="8"/>
        <v>2021</v>
      </c>
      <c r="F280" s="10">
        <v>44805</v>
      </c>
      <c r="G280" s="9">
        <v>20</v>
      </c>
      <c r="H280" s="9">
        <v>8</v>
      </c>
      <c r="I280" s="9">
        <v>12</v>
      </c>
      <c r="J280" s="9" t="s">
        <v>14</v>
      </c>
      <c r="K280" s="11" t="s">
        <v>10</v>
      </c>
      <c r="L280" t="str">
        <f t="shared" si="9"/>
        <v>5-10 Years</v>
      </c>
      <c r="O280" s="1"/>
      <c r="P280" s="6"/>
      <c r="Q280" s="7"/>
      <c r="T280"/>
      <c r="U280"/>
      <c r="Y280"/>
      <c r="Z280"/>
      <c r="AA280"/>
    </row>
    <row r="281" spans="2:27" x14ac:dyDescent="0.3">
      <c r="B28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HCP_PD2021WEST201610</v>
      </c>
      <c r="C281" s="9" t="s">
        <v>20</v>
      </c>
      <c r="D281" s="10">
        <v>44284</v>
      </c>
      <c r="E281" s="10" t="str">
        <f t="shared" si="8"/>
        <v>2021</v>
      </c>
      <c r="F281" s="10">
        <v>44797</v>
      </c>
      <c r="G281" s="9">
        <v>20</v>
      </c>
      <c r="H281" s="9">
        <v>16</v>
      </c>
      <c r="I281" s="9">
        <v>10</v>
      </c>
      <c r="J281" s="9" t="s">
        <v>9</v>
      </c>
      <c r="K281" s="11" t="s">
        <v>10</v>
      </c>
      <c r="L281" t="str">
        <f t="shared" si="9"/>
        <v>10+ Years</v>
      </c>
      <c r="O281" s="1"/>
      <c r="P281" s="6"/>
      <c r="Q281" s="7"/>
      <c r="T281"/>
      <c r="U281"/>
      <c r="Y281"/>
      <c r="Z281"/>
      <c r="AA281"/>
    </row>
    <row r="282" spans="2:27" x14ac:dyDescent="0.3">
      <c r="B28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HCP_AI2021MIDWEST204124</v>
      </c>
      <c r="C282" s="9" t="s">
        <v>8</v>
      </c>
      <c r="D282" s="10">
        <v>44217</v>
      </c>
      <c r="E282" s="10" t="str">
        <f t="shared" si="8"/>
        <v>2021</v>
      </c>
      <c r="F282" s="10">
        <v>44816</v>
      </c>
      <c r="G282" s="9">
        <v>20</v>
      </c>
      <c r="H282" s="9">
        <v>41</v>
      </c>
      <c r="I282" s="9">
        <v>24</v>
      </c>
      <c r="J282" s="9" t="s">
        <v>13</v>
      </c>
      <c r="K282" s="11" t="s">
        <v>10</v>
      </c>
      <c r="L282" t="str">
        <f t="shared" si="9"/>
        <v>5-10 Years</v>
      </c>
      <c r="O282" s="1"/>
      <c r="P282" s="6"/>
      <c r="Q282" s="7"/>
      <c r="T282"/>
      <c r="U282"/>
      <c r="Y282"/>
      <c r="Z282"/>
      <c r="AA282"/>
    </row>
    <row r="283" spans="2:27" x14ac:dyDescent="0.3">
      <c r="B28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HCP_PDA2021NORTHEAST20408</v>
      </c>
      <c r="C283" s="9" t="s">
        <v>17</v>
      </c>
      <c r="D283" s="10">
        <v>44209</v>
      </c>
      <c r="E283" s="10" t="str">
        <f t="shared" si="8"/>
        <v>2021</v>
      </c>
      <c r="F283" s="10">
        <v>44826</v>
      </c>
      <c r="G283" s="9">
        <v>20</v>
      </c>
      <c r="H283" s="9">
        <v>40</v>
      </c>
      <c r="I283" s="9">
        <v>8</v>
      </c>
      <c r="J283" s="9" t="s">
        <v>15</v>
      </c>
      <c r="K283" s="11" t="s">
        <v>10</v>
      </c>
      <c r="L283" t="str">
        <f t="shared" si="9"/>
        <v>10+ Years</v>
      </c>
      <c r="O283" s="1"/>
      <c r="P283" s="6"/>
      <c r="Q283" s="7"/>
      <c r="T283"/>
      <c r="U283"/>
      <c r="Y283"/>
      <c r="Z283"/>
      <c r="AA283"/>
    </row>
    <row r="284" spans="2:27" x14ac:dyDescent="0.3">
      <c r="B28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HCP_AI2020NORTHEAST202925</v>
      </c>
      <c r="C284" s="9" t="s">
        <v>8</v>
      </c>
      <c r="D284" s="10">
        <v>44174</v>
      </c>
      <c r="E284" s="10" t="str">
        <f t="shared" si="8"/>
        <v>2020</v>
      </c>
      <c r="F284" s="10">
        <v>44235</v>
      </c>
      <c r="G284" s="9">
        <v>20</v>
      </c>
      <c r="H284" s="9">
        <v>29</v>
      </c>
      <c r="I284" s="9">
        <v>25</v>
      </c>
      <c r="J284" s="9" t="s">
        <v>15</v>
      </c>
      <c r="K284" s="11" t="s">
        <v>16</v>
      </c>
      <c r="L284" t="str">
        <f t="shared" si="9"/>
        <v>5-10 Years</v>
      </c>
      <c r="O284" s="1"/>
      <c r="P284" s="6"/>
      <c r="Q284" s="7"/>
      <c r="T284"/>
      <c r="U284"/>
      <c r="Y284"/>
      <c r="Z284"/>
      <c r="AA284"/>
    </row>
    <row r="285" spans="2:27" x14ac:dyDescent="0.3">
      <c r="B28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HCP_AI2020CENTRAL204227</v>
      </c>
      <c r="C285" s="9" t="s">
        <v>8</v>
      </c>
      <c r="D285" s="10">
        <v>44165</v>
      </c>
      <c r="E285" s="10" t="str">
        <f t="shared" si="8"/>
        <v>2020</v>
      </c>
      <c r="F285" s="10">
        <v>44826</v>
      </c>
      <c r="G285" s="9">
        <v>20</v>
      </c>
      <c r="H285" s="9">
        <v>42</v>
      </c>
      <c r="I285" s="9">
        <v>27</v>
      </c>
      <c r="J285" s="9" t="s">
        <v>14</v>
      </c>
      <c r="K285" s="11" t="s">
        <v>10</v>
      </c>
      <c r="L285" t="str">
        <f t="shared" si="9"/>
        <v>10+ Years</v>
      </c>
      <c r="O285" s="1"/>
      <c r="P285" s="6"/>
      <c r="Q285" s="7"/>
      <c r="T285"/>
      <c r="U285"/>
      <c r="Y285"/>
      <c r="Z285"/>
      <c r="AA285"/>
    </row>
    <row r="286" spans="2:27" x14ac:dyDescent="0.3">
      <c r="B286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HCP_PDA2020NORTHEAST201728</v>
      </c>
      <c r="C286" s="9" t="s">
        <v>17</v>
      </c>
      <c r="D286" s="10">
        <v>44159</v>
      </c>
      <c r="E286" s="10" t="str">
        <f t="shared" si="8"/>
        <v>2020</v>
      </c>
      <c r="F286" s="10">
        <v>44385</v>
      </c>
      <c r="G286" s="9">
        <v>20</v>
      </c>
      <c r="H286" s="9">
        <v>17</v>
      </c>
      <c r="I286" s="9">
        <v>28</v>
      </c>
      <c r="J286" s="9" t="s">
        <v>15</v>
      </c>
      <c r="K286" s="11" t="s">
        <v>16</v>
      </c>
      <c r="L286" t="str">
        <f t="shared" si="9"/>
        <v>10+ Years</v>
      </c>
      <c r="O286" s="1"/>
      <c r="P286" s="6"/>
      <c r="Q286" s="7"/>
      <c r="T286"/>
      <c r="U286"/>
      <c r="Y286"/>
      <c r="Z286"/>
      <c r="AA286"/>
    </row>
    <row r="287" spans="2:27" x14ac:dyDescent="0.3">
      <c r="B28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HCP_AI2020CENTRAL202412</v>
      </c>
      <c r="C287" s="9" t="s">
        <v>8</v>
      </c>
      <c r="D287" s="10">
        <v>44040</v>
      </c>
      <c r="E287" s="10" t="str">
        <f t="shared" si="8"/>
        <v>2020</v>
      </c>
      <c r="F287" s="10">
        <v>44370</v>
      </c>
      <c r="G287" s="9">
        <v>20</v>
      </c>
      <c r="H287" s="9">
        <v>24</v>
      </c>
      <c r="I287" s="9">
        <v>12</v>
      </c>
      <c r="J287" s="9" t="s">
        <v>14</v>
      </c>
      <c r="K287" s="11" t="s">
        <v>16</v>
      </c>
      <c r="L287" t="str">
        <f t="shared" si="9"/>
        <v>10+ Years</v>
      </c>
      <c r="O287" s="1"/>
      <c r="P287" s="6"/>
      <c r="Q287" s="7"/>
      <c r="T287"/>
      <c r="U287"/>
      <c r="Y287"/>
      <c r="Z287"/>
      <c r="AA287"/>
    </row>
    <row r="288" spans="2:27" x14ac:dyDescent="0.3">
      <c r="B28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HCP_AI2020WEST203929</v>
      </c>
      <c r="C288" s="9" t="s">
        <v>8</v>
      </c>
      <c r="D288" s="10">
        <v>44033</v>
      </c>
      <c r="E288" s="10" t="str">
        <f t="shared" si="8"/>
        <v>2020</v>
      </c>
      <c r="F288" s="10">
        <v>44085</v>
      </c>
      <c r="G288" s="9">
        <v>20</v>
      </c>
      <c r="H288" s="9">
        <v>39</v>
      </c>
      <c r="I288" s="9">
        <v>29</v>
      </c>
      <c r="J288" s="9" t="s">
        <v>9</v>
      </c>
      <c r="K288" s="11" t="s">
        <v>16</v>
      </c>
      <c r="L288" t="str">
        <f t="shared" si="9"/>
        <v>10+ Years</v>
      </c>
      <c r="O288" s="1"/>
      <c r="P288" s="6"/>
      <c r="Q288" s="7"/>
      <c r="T288"/>
      <c r="U288"/>
      <c r="Y288"/>
      <c r="Z288"/>
      <c r="AA288"/>
    </row>
    <row r="289" spans="2:27" x14ac:dyDescent="0.3">
      <c r="B28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HCP_AI2022NORTHEAST19926</v>
      </c>
      <c r="C289" s="9" t="s">
        <v>8</v>
      </c>
      <c r="D289" s="10">
        <v>44579</v>
      </c>
      <c r="E289" s="10" t="str">
        <f t="shared" si="8"/>
        <v>2022</v>
      </c>
      <c r="F289" s="10">
        <v>44826</v>
      </c>
      <c r="G289" s="9">
        <v>19</v>
      </c>
      <c r="H289" s="9">
        <v>9</v>
      </c>
      <c r="I289" s="9">
        <v>26</v>
      </c>
      <c r="J289" s="9" t="s">
        <v>15</v>
      </c>
      <c r="K289" s="11" t="s">
        <v>10</v>
      </c>
      <c r="L289" t="str">
        <f t="shared" si="9"/>
        <v>10+ Years</v>
      </c>
      <c r="O289" s="1"/>
      <c r="P289" s="6"/>
      <c r="Q289" s="7"/>
      <c r="T289"/>
      <c r="U289"/>
      <c r="Y289"/>
      <c r="Z289"/>
      <c r="AA289"/>
    </row>
    <row r="290" spans="2:27" x14ac:dyDescent="0.3">
      <c r="B290" s="8" t="str">
        <f>"HCP_"&amp;Table1[[#This Row],[Specialty]]&amp;Table1[[#This Row],[Rx_Start_Year]]&amp;Table1[[#This Row],[Area Name]]&amp;Table1[[#This Row],[Enrollments]]&amp;Table1[[#This Row],[NPS]]&amp;Table1[[#This Row],[Discontinuations]]</f>
        <v>HCP_UP2020SOUTHEAST19287</v>
      </c>
      <c r="C290" s="9" t="s">
        <v>28</v>
      </c>
      <c r="D290" s="10">
        <v>44105</v>
      </c>
      <c r="E290" s="10" t="str">
        <f t="shared" si="8"/>
        <v>2020</v>
      </c>
      <c r="F290" s="10">
        <v>44825</v>
      </c>
      <c r="G290" s="9">
        <v>19</v>
      </c>
      <c r="H290" s="9">
        <v>28</v>
      </c>
      <c r="I290" s="9">
        <v>7</v>
      </c>
      <c r="J290" s="9" t="s">
        <v>19</v>
      </c>
      <c r="K290" s="11" t="s">
        <v>10</v>
      </c>
      <c r="L290" t="str">
        <f t="shared" si="9"/>
        <v>10+ Years</v>
      </c>
      <c r="O290" s="1"/>
      <c r="P290" s="6"/>
      <c r="Q290" s="7"/>
      <c r="T290"/>
      <c r="U290"/>
      <c r="Y290"/>
      <c r="Z290"/>
      <c r="AA290"/>
    </row>
    <row r="291" spans="2:27" x14ac:dyDescent="0.3">
      <c r="B29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HCP_AI2020NORTHEAST19817</v>
      </c>
      <c r="C291" s="9" t="s">
        <v>8</v>
      </c>
      <c r="D291" s="10">
        <v>44059</v>
      </c>
      <c r="E291" s="10" t="str">
        <f t="shared" si="8"/>
        <v>2020</v>
      </c>
      <c r="F291" s="10">
        <v>44826</v>
      </c>
      <c r="G291" s="9">
        <v>19</v>
      </c>
      <c r="H291" s="9">
        <v>8</v>
      </c>
      <c r="I291" s="9">
        <v>17</v>
      </c>
      <c r="J291" s="9" t="s">
        <v>15</v>
      </c>
      <c r="K291" s="11" t="s">
        <v>10</v>
      </c>
      <c r="L291" t="str">
        <f t="shared" si="9"/>
        <v>5-10 Years</v>
      </c>
      <c r="O291" s="1"/>
      <c r="P291" s="6"/>
      <c r="Q291" s="7"/>
      <c r="T291"/>
      <c r="U291"/>
      <c r="Y291"/>
      <c r="Z291"/>
      <c r="AA291"/>
    </row>
    <row r="292" spans="2:27" x14ac:dyDescent="0.3">
      <c r="B29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HCP_PDA2021CENTRAL181727</v>
      </c>
      <c r="C292" s="9" t="s">
        <v>17</v>
      </c>
      <c r="D292" s="10">
        <v>44410</v>
      </c>
      <c r="E292" s="10" t="str">
        <f t="shared" si="8"/>
        <v>2021</v>
      </c>
      <c r="F292" s="10">
        <v>44715</v>
      </c>
      <c r="G292" s="9">
        <v>18</v>
      </c>
      <c r="H292" s="9">
        <v>17</v>
      </c>
      <c r="I292" s="9">
        <v>27</v>
      </c>
      <c r="J292" s="9" t="s">
        <v>14</v>
      </c>
      <c r="K292" s="11" t="s">
        <v>16</v>
      </c>
      <c r="L292" t="str">
        <f t="shared" si="9"/>
        <v>10+ Years</v>
      </c>
      <c r="O292" s="1"/>
      <c r="P292" s="6"/>
      <c r="Q292" s="7"/>
      <c r="T292"/>
      <c r="U292"/>
      <c r="Y292"/>
      <c r="Z292"/>
      <c r="AA292"/>
    </row>
    <row r="293" spans="2:27" x14ac:dyDescent="0.3">
      <c r="B29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HCP_PDA2021MIDWEST182416</v>
      </c>
      <c r="C293" s="9" t="s">
        <v>17</v>
      </c>
      <c r="D293" s="10">
        <v>44363</v>
      </c>
      <c r="E293" s="10" t="str">
        <f t="shared" si="8"/>
        <v>2021</v>
      </c>
      <c r="F293" s="10">
        <v>44825</v>
      </c>
      <c r="G293" s="9">
        <v>18</v>
      </c>
      <c r="H293" s="9">
        <v>24</v>
      </c>
      <c r="I293" s="9">
        <v>16</v>
      </c>
      <c r="J293" s="9" t="s">
        <v>13</v>
      </c>
      <c r="K293" s="11" t="s">
        <v>10</v>
      </c>
      <c r="L293" t="str">
        <f t="shared" si="9"/>
        <v>10+ Years</v>
      </c>
      <c r="O293" s="1"/>
      <c r="P293" s="6"/>
      <c r="Q293" s="7"/>
      <c r="T293"/>
      <c r="U293"/>
      <c r="Y293"/>
      <c r="Z293"/>
      <c r="AA293"/>
    </row>
    <row r="294" spans="2:27" x14ac:dyDescent="0.3">
      <c r="B29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HCP_PD2021SOUTHEAST183321</v>
      </c>
      <c r="C294" s="9" t="s">
        <v>20</v>
      </c>
      <c r="D294" s="10">
        <v>44241</v>
      </c>
      <c r="E294" s="10" t="str">
        <f t="shared" si="8"/>
        <v>2021</v>
      </c>
      <c r="F294" s="10">
        <v>44826</v>
      </c>
      <c r="G294" s="9">
        <v>18</v>
      </c>
      <c r="H294" s="9">
        <v>33</v>
      </c>
      <c r="I294" s="9">
        <v>21</v>
      </c>
      <c r="J294" s="9" t="s">
        <v>19</v>
      </c>
      <c r="K294" s="11" t="s">
        <v>10</v>
      </c>
      <c r="L294" t="str">
        <f t="shared" si="9"/>
        <v>10+ Years</v>
      </c>
      <c r="O294" s="1"/>
      <c r="P294" s="6"/>
      <c r="Q294" s="7"/>
      <c r="T294"/>
      <c r="U294"/>
      <c r="Y294"/>
      <c r="Z294"/>
      <c r="AA294"/>
    </row>
    <row r="295" spans="2:27" x14ac:dyDescent="0.3">
      <c r="B29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HCP_PDA2021WEST183427</v>
      </c>
      <c r="C295" s="9" t="s">
        <v>17</v>
      </c>
      <c r="D295" s="10">
        <v>44224</v>
      </c>
      <c r="E295" s="10" t="str">
        <f t="shared" si="8"/>
        <v>2021</v>
      </c>
      <c r="F295" s="10">
        <v>44257</v>
      </c>
      <c r="G295" s="9">
        <v>18</v>
      </c>
      <c r="H295" s="9">
        <v>34</v>
      </c>
      <c r="I295" s="9">
        <v>27</v>
      </c>
      <c r="J295" s="9" t="s">
        <v>9</v>
      </c>
      <c r="K295" s="11" t="s">
        <v>16</v>
      </c>
      <c r="L295" t="str">
        <f t="shared" si="9"/>
        <v>10+ Years</v>
      </c>
      <c r="O295" s="1"/>
      <c r="P295" s="6"/>
      <c r="Q295" s="7"/>
      <c r="T295"/>
      <c r="U295"/>
      <c r="Y295"/>
      <c r="Z295"/>
      <c r="AA295"/>
    </row>
    <row r="296" spans="2:27" x14ac:dyDescent="0.3">
      <c r="B29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HCP_AI2022CENTRAL173622</v>
      </c>
      <c r="C296" s="9" t="s">
        <v>8</v>
      </c>
      <c r="D296" s="10">
        <v>44606</v>
      </c>
      <c r="E296" s="10" t="str">
        <f t="shared" si="8"/>
        <v>2022</v>
      </c>
      <c r="F296" s="10">
        <v>44816</v>
      </c>
      <c r="G296" s="9">
        <v>17</v>
      </c>
      <c r="H296" s="9">
        <v>36</v>
      </c>
      <c r="I296" s="9">
        <v>22</v>
      </c>
      <c r="J296" s="9" t="s">
        <v>14</v>
      </c>
      <c r="K296" s="11" t="s">
        <v>10</v>
      </c>
      <c r="L296" t="str">
        <f t="shared" si="9"/>
        <v>10+ Years</v>
      </c>
      <c r="O296" s="1"/>
      <c r="P296" s="6"/>
      <c r="Q296" s="7"/>
      <c r="T296"/>
      <c r="U296"/>
      <c r="Y296"/>
      <c r="Z296"/>
      <c r="AA296"/>
    </row>
    <row r="297" spans="2:27" x14ac:dyDescent="0.3">
      <c r="B29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HCP_AI2021CENTRAL172520</v>
      </c>
      <c r="C297" s="9" t="s">
        <v>8</v>
      </c>
      <c r="D297" s="10">
        <v>44469</v>
      </c>
      <c r="E297" s="10" t="str">
        <f t="shared" si="8"/>
        <v>2021</v>
      </c>
      <c r="F297" s="10">
        <v>44817</v>
      </c>
      <c r="G297" s="9">
        <v>17</v>
      </c>
      <c r="H297" s="9">
        <v>25</v>
      </c>
      <c r="I297" s="9">
        <v>20</v>
      </c>
      <c r="J297" s="9" t="s">
        <v>14</v>
      </c>
      <c r="K297" s="11" t="s">
        <v>10</v>
      </c>
      <c r="L297" t="str">
        <f t="shared" si="9"/>
        <v>10+ Years</v>
      </c>
      <c r="O297" s="1"/>
      <c r="P297" s="6"/>
      <c r="Q297" s="7"/>
      <c r="T297"/>
      <c r="U297"/>
      <c r="Y297"/>
      <c r="Z297"/>
      <c r="AA297"/>
    </row>
    <row r="298" spans="2:27" x14ac:dyDescent="0.3">
      <c r="B298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HCP_FM2021NA173323</v>
      </c>
      <c r="C298" s="9" t="s">
        <v>18</v>
      </c>
      <c r="D298" s="10">
        <v>44390</v>
      </c>
      <c r="E298" s="10" t="str">
        <f t="shared" si="8"/>
        <v>2021</v>
      </c>
      <c r="F298" s="10">
        <v>44607</v>
      </c>
      <c r="G298" s="9">
        <v>17</v>
      </c>
      <c r="H298" s="9">
        <v>33</v>
      </c>
      <c r="I298" s="9">
        <v>23</v>
      </c>
      <c r="J298" s="9" t="s">
        <v>11</v>
      </c>
      <c r="K298" s="11" t="s">
        <v>16</v>
      </c>
      <c r="L298" t="str">
        <f t="shared" si="9"/>
        <v>10+ Years</v>
      </c>
      <c r="O298" s="1"/>
      <c r="P298" s="6"/>
      <c r="Q298" s="7"/>
      <c r="T298"/>
      <c r="U298"/>
      <c r="Y298"/>
      <c r="Z298"/>
      <c r="AA298"/>
    </row>
    <row r="299" spans="2:27" x14ac:dyDescent="0.3">
      <c r="B29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HCP_AI2021SOUTHEAST17117</v>
      </c>
      <c r="C299" s="9" t="s">
        <v>8</v>
      </c>
      <c r="D299" s="10">
        <v>44223</v>
      </c>
      <c r="E299" s="10" t="str">
        <f t="shared" si="8"/>
        <v>2021</v>
      </c>
      <c r="F299" s="10">
        <v>44824</v>
      </c>
      <c r="G299" s="9">
        <v>17</v>
      </c>
      <c r="H299" s="9">
        <v>1</v>
      </c>
      <c r="I299" s="9">
        <v>17</v>
      </c>
      <c r="J299" s="9" t="s">
        <v>19</v>
      </c>
      <c r="K299" s="11" t="s">
        <v>10</v>
      </c>
      <c r="L299" t="str">
        <f t="shared" si="9"/>
        <v>10+ Years</v>
      </c>
      <c r="O299" s="1"/>
      <c r="P299" s="6"/>
      <c r="Q299" s="7"/>
      <c r="T299"/>
      <c r="U299"/>
      <c r="Y299"/>
      <c r="Z299"/>
      <c r="AA299"/>
    </row>
    <row r="300" spans="2:27" x14ac:dyDescent="0.3">
      <c r="B300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HCP_FM2020SOUTHEAST17141</v>
      </c>
      <c r="C300" s="9" t="s">
        <v>18</v>
      </c>
      <c r="D300" s="10">
        <v>44153</v>
      </c>
      <c r="E300" s="10" t="str">
        <f t="shared" si="8"/>
        <v>2020</v>
      </c>
      <c r="F300" s="10">
        <v>44816</v>
      </c>
      <c r="G300" s="9">
        <v>17</v>
      </c>
      <c r="H300" s="9">
        <v>14</v>
      </c>
      <c r="I300" s="9">
        <v>1</v>
      </c>
      <c r="J300" s="9" t="s">
        <v>19</v>
      </c>
      <c r="K300" s="11" t="s">
        <v>10</v>
      </c>
      <c r="L300" t="str">
        <f t="shared" si="9"/>
        <v>10+ Years</v>
      </c>
      <c r="O300" s="1"/>
      <c r="P300" s="6"/>
      <c r="Q300" s="7"/>
      <c r="T300"/>
      <c r="U300"/>
      <c r="Y300"/>
      <c r="Z300"/>
      <c r="AA300"/>
    </row>
    <row r="301" spans="2:27" x14ac:dyDescent="0.3">
      <c r="B30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HCP_PD2021WEST17914</v>
      </c>
      <c r="C301" s="9" t="s">
        <v>20</v>
      </c>
      <c r="D301" s="10">
        <v>44536</v>
      </c>
      <c r="E301" s="10" t="str">
        <f t="shared" si="8"/>
        <v>2021</v>
      </c>
      <c r="F301" s="10">
        <v>44827</v>
      </c>
      <c r="G301" s="9">
        <v>17</v>
      </c>
      <c r="H301" s="9">
        <v>9</v>
      </c>
      <c r="I301" s="9">
        <v>14</v>
      </c>
      <c r="J301" s="9" t="s">
        <v>9</v>
      </c>
      <c r="K301" s="11" t="s">
        <v>10</v>
      </c>
      <c r="L301" t="str">
        <f t="shared" si="9"/>
        <v>0-1 Years</v>
      </c>
      <c r="O301" s="1"/>
      <c r="P301" s="6"/>
      <c r="Q301" s="7"/>
      <c r="T301"/>
      <c r="U301"/>
      <c r="Y301"/>
      <c r="Z301"/>
      <c r="AA301"/>
    </row>
    <row r="302" spans="2:27" x14ac:dyDescent="0.3">
      <c r="B302" s="8" t="str">
        <f>"HCP_"&amp;Table1[[#This Row],[Specialty]]&amp;Table1[[#This Row],[Rx_Start_Year]]&amp;Table1[[#This Row],[Area Name]]&amp;Table1[[#This Row],[Enrollments]]&amp;Table1[[#This Row],[NPS]]&amp;Table1[[#This Row],[Discontinuations]]</f>
        <v>HCP_PCC2020SOUTHEAST173916</v>
      </c>
      <c r="C302" s="9" t="s">
        <v>29</v>
      </c>
      <c r="D302" s="10">
        <v>44035</v>
      </c>
      <c r="E302" s="10" t="str">
        <f t="shared" si="8"/>
        <v>2020</v>
      </c>
      <c r="F302" s="10">
        <v>44824</v>
      </c>
      <c r="G302" s="9">
        <v>17</v>
      </c>
      <c r="H302" s="9">
        <v>39</v>
      </c>
      <c r="I302" s="9">
        <v>16</v>
      </c>
      <c r="J302" s="9" t="s">
        <v>19</v>
      </c>
      <c r="K302" s="11" t="s">
        <v>10</v>
      </c>
      <c r="L302" t="str">
        <f t="shared" si="9"/>
        <v>10+ Years</v>
      </c>
      <c r="O302" s="1"/>
      <c r="P302" s="6"/>
      <c r="Q302" s="7"/>
      <c r="T302"/>
      <c r="U302"/>
      <c r="Y302"/>
      <c r="Z302"/>
      <c r="AA302"/>
    </row>
    <row r="303" spans="2:27" x14ac:dyDescent="0.3">
      <c r="B303" s="8" t="str">
        <f>"HCP_"&amp;Table1[[#This Row],[Specialty]]&amp;Table1[[#This Row],[Rx_Start_Year]]&amp;Table1[[#This Row],[Area Name]]&amp;Table1[[#This Row],[Enrollments]]&amp;Table1[[#This Row],[NPS]]&amp;Table1[[#This Row],[Discontinuations]]</f>
        <v>HCP_FM2021WEST16119</v>
      </c>
      <c r="C303" s="9" t="s">
        <v>18</v>
      </c>
      <c r="D303" s="10">
        <v>44537</v>
      </c>
      <c r="E303" s="10" t="str">
        <f t="shared" si="8"/>
        <v>2021</v>
      </c>
      <c r="F303" s="10">
        <v>44792</v>
      </c>
      <c r="G303" s="9">
        <v>16</v>
      </c>
      <c r="H303" s="9">
        <v>11</v>
      </c>
      <c r="I303" s="9">
        <v>9</v>
      </c>
      <c r="J303" s="9" t="s">
        <v>9</v>
      </c>
      <c r="K303" s="11" t="s">
        <v>16</v>
      </c>
      <c r="L303" t="str">
        <f t="shared" si="9"/>
        <v>10+ Years</v>
      </c>
      <c r="O303" s="1"/>
      <c r="P303" s="6"/>
      <c r="Q303" s="7"/>
      <c r="T303"/>
      <c r="U303"/>
      <c r="Y303"/>
      <c r="Z303"/>
      <c r="AA303"/>
    </row>
    <row r="304" spans="2:27" x14ac:dyDescent="0.3">
      <c r="B30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HCP_AI2021MIDWEST16307</v>
      </c>
      <c r="C304" s="9" t="s">
        <v>8</v>
      </c>
      <c r="D304" s="10">
        <v>44459</v>
      </c>
      <c r="E304" s="10" t="str">
        <f t="shared" si="8"/>
        <v>2021</v>
      </c>
      <c r="F304" s="10">
        <v>44805</v>
      </c>
      <c r="G304" s="9">
        <v>16</v>
      </c>
      <c r="H304" s="9">
        <v>30</v>
      </c>
      <c r="I304" s="9">
        <v>7</v>
      </c>
      <c r="J304" s="9" t="s">
        <v>13</v>
      </c>
      <c r="K304" s="11" t="s">
        <v>10</v>
      </c>
      <c r="L304" t="str">
        <f t="shared" si="9"/>
        <v>5-10 Years</v>
      </c>
      <c r="O304" s="1"/>
      <c r="P304" s="6"/>
      <c r="Q304" s="7"/>
      <c r="T304"/>
      <c r="U304"/>
      <c r="Y304"/>
      <c r="Z304"/>
      <c r="AA304"/>
    </row>
    <row r="305" spans="2:27" x14ac:dyDescent="0.3">
      <c r="B305" s="8" t="str">
        <f>"HCP_"&amp;Table1[[#This Row],[Specialty]]&amp;Table1[[#This Row],[Rx_Start_Year]]&amp;Table1[[#This Row],[Area Name]]&amp;Table1[[#This Row],[Enrollments]]&amp;Table1[[#This Row],[NPS]]&amp;Table1[[#This Row],[Discontinuations]]</f>
        <v>HCP_GP2021MIDWEST161111</v>
      </c>
      <c r="C305" s="9" t="s">
        <v>23</v>
      </c>
      <c r="D305" s="10">
        <v>44250</v>
      </c>
      <c r="E305" s="10" t="str">
        <f t="shared" si="8"/>
        <v>2021</v>
      </c>
      <c r="F305" s="10">
        <v>44826</v>
      </c>
      <c r="G305" s="9">
        <v>16</v>
      </c>
      <c r="H305" s="9">
        <v>11</v>
      </c>
      <c r="I305" s="9">
        <v>11</v>
      </c>
      <c r="J305" s="9" t="s">
        <v>13</v>
      </c>
      <c r="K305" s="11" t="s">
        <v>10</v>
      </c>
      <c r="L305" t="str">
        <f t="shared" si="9"/>
        <v>5-10 Years</v>
      </c>
      <c r="O305" s="1"/>
      <c r="P305" s="6"/>
      <c r="Q305" s="7"/>
      <c r="T305"/>
      <c r="U305"/>
      <c r="Y305"/>
      <c r="Z305"/>
      <c r="AA305"/>
    </row>
    <row r="306" spans="2:27" x14ac:dyDescent="0.3">
      <c r="B306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HCP_PDA2021NORTHEAST16144</v>
      </c>
      <c r="C306" s="9" t="s">
        <v>17</v>
      </c>
      <c r="D306" s="10">
        <v>44237</v>
      </c>
      <c r="E306" s="10" t="str">
        <f t="shared" si="8"/>
        <v>2021</v>
      </c>
      <c r="F306" s="10">
        <v>44802</v>
      </c>
      <c r="G306" s="9">
        <v>16</v>
      </c>
      <c r="H306" s="9">
        <v>14</v>
      </c>
      <c r="I306" s="9">
        <v>4</v>
      </c>
      <c r="J306" s="9" t="s">
        <v>15</v>
      </c>
      <c r="K306" s="11" t="s">
        <v>10</v>
      </c>
      <c r="L306" t="str">
        <f t="shared" si="9"/>
        <v>10+ Years</v>
      </c>
      <c r="O306" s="1"/>
      <c r="P306" s="6"/>
      <c r="Q306" s="7"/>
      <c r="T306"/>
      <c r="U306"/>
      <c r="Y306"/>
      <c r="Z306"/>
      <c r="AA306"/>
    </row>
    <row r="307" spans="2:27" x14ac:dyDescent="0.3">
      <c r="B30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HCP_PDA2021NORTHEAST16421</v>
      </c>
      <c r="C307" s="9" t="s">
        <v>17</v>
      </c>
      <c r="D307" s="10">
        <v>44222</v>
      </c>
      <c r="E307" s="10" t="str">
        <f t="shared" si="8"/>
        <v>2021</v>
      </c>
      <c r="F307" s="10">
        <v>44777</v>
      </c>
      <c r="G307" s="9">
        <v>16</v>
      </c>
      <c r="H307" s="9">
        <v>42</v>
      </c>
      <c r="I307" s="9">
        <v>1</v>
      </c>
      <c r="J307" s="9" t="s">
        <v>15</v>
      </c>
      <c r="K307" s="11" t="s">
        <v>10</v>
      </c>
      <c r="L307" t="str">
        <f t="shared" si="9"/>
        <v>3-5 Years</v>
      </c>
      <c r="O307" s="1"/>
      <c r="P307" s="6"/>
      <c r="Q307" s="7"/>
      <c r="T307"/>
      <c r="U307"/>
      <c r="Y307"/>
      <c r="Z307"/>
      <c r="AA307"/>
    </row>
    <row r="308" spans="2:27" x14ac:dyDescent="0.3">
      <c r="B30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HCP_AI2021MIDWEST165016</v>
      </c>
      <c r="C308" s="9" t="s">
        <v>8</v>
      </c>
      <c r="D308" s="10">
        <v>44217</v>
      </c>
      <c r="E308" s="10" t="str">
        <f t="shared" si="8"/>
        <v>2021</v>
      </c>
      <c r="F308" s="10">
        <v>44812</v>
      </c>
      <c r="G308" s="9">
        <v>16</v>
      </c>
      <c r="H308" s="9">
        <v>50</v>
      </c>
      <c r="I308" s="9">
        <v>16</v>
      </c>
      <c r="J308" s="9" t="s">
        <v>13</v>
      </c>
      <c r="K308" s="11" t="s">
        <v>10</v>
      </c>
      <c r="L308" t="str">
        <f t="shared" si="9"/>
        <v>0-1 Years</v>
      </c>
      <c r="O308" s="1"/>
      <c r="P308" s="6"/>
      <c r="Q308" s="7"/>
      <c r="T308"/>
      <c r="U308"/>
      <c r="Y308"/>
      <c r="Z308"/>
      <c r="AA308"/>
    </row>
    <row r="309" spans="2:27" x14ac:dyDescent="0.3">
      <c r="B30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HCP_AI2021SOUTHEAST15238</v>
      </c>
      <c r="C309" s="9" t="s">
        <v>8</v>
      </c>
      <c r="D309" s="10">
        <v>44515</v>
      </c>
      <c r="E309" s="10" t="str">
        <f t="shared" si="8"/>
        <v>2021</v>
      </c>
      <c r="F309" s="10">
        <v>44824</v>
      </c>
      <c r="G309" s="9">
        <v>15</v>
      </c>
      <c r="H309" s="9">
        <v>23</v>
      </c>
      <c r="I309" s="9">
        <v>8</v>
      </c>
      <c r="J309" s="9" t="s">
        <v>19</v>
      </c>
      <c r="K309" s="11" t="s">
        <v>10</v>
      </c>
      <c r="L309" t="str">
        <f t="shared" si="9"/>
        <v>10+ Years</v>
      </c>
      <c r="O309" s="1"/>
      <c r="P309" s="6"/>
      <c r="Q309" s="7"/>
      <c r="T309"/>
      <c r="U309"/>
      <c r="Y309"/>
      <c r="Z309"/>
      <c r="AA309"/>
    </row>
    <row r="310" spans="2:27" x14ac:dyDescent="0.3">
      <c r="B31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HCP_AI2021WEST15348</v>
      </c>
      <c r="C310" s="9" t="s">
        <v>8</v>
      </c>
      <c r="D310" s="10">
        <v>44410</v>
      </c>
      <c r="E310" s="10" t="str">
        <f t="shared" si="8"/>
        <v>2021</v>
      </c>
      <c r="F310" s="10">
        <v>44824</v>
      </c>
      <c r="G310" s="9">
        <v>15</v>
      </c>
      <c r="H310" s="9">
        <v>34</v>
      </c>
      <c r="I310" s="9">
        <v>8</v>
      </c>
      <c r="J310" s="9" t="s">
        <v>9</v>
      </c>
      <c r="K310" s="11" t="s">
        <v>10</v>
      </c>
      <c r="L310" t="str">
        <f t="shared" si="9"/>
        <v>5-10 Years</v>
      </c>
      <c r="O310" s="1"/>
      <c r="P310" s="6"/>
      <c r="Q310" s="7"/>
      <c r="T310"/>
      <c r="U310"/>
      <c r="Y310"/>
      <c r="Z310"/>
      <c r="AA310"/>
    </row>
    <row r="311" spans="2:27" x14ac:dyDescent="0.3">
      <c r="B31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HCP_AI2021WEST15113</v>
      </c>
      <c r="C311" s="9" t="s">
        <v>8</v>
      </c>
      <c r="D311" s="10">
        <v>44361</v>
      </c>
      <c r="E311" s="10" t="str">
        <f t="shared" si="8"/>
        <v>2021</v>
      </c>
      <c r="F311" s="10">
        <v>44811</v>
      </c>
      <c r="G311" s="9">
        <v>15</v>
      </c>
      <c r="H311" s="9">
        <v>11</v>
      </c>
      <c r="I311" s="9">
        <v>3</v>
      </c>
      <c r="J311" s="9" t="s">
        <v>9</v>
      </c>
      <c r="K311" s="11" t="s">
        <v>10</v>
      </c>
      <c r="L311" t="str">
        <f t="shared" si="9"/>
        <v>5-10 Years</v>
      </c>
      <c r="O311" s="1"/>
      <c r="P311" s="6"/>
      <c r="Q311" s="7"/>
      <c r="T311"/>
      <c r="U311"/>
      <c r="Y311"/>
      <c r="Z311"/>
      <c r="AA311"/>
    </row>
    <row r="312" spans="2:27" x14ac:dyDescent="0.3">
      <c r="B31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HCP_AI2020NORTHEAST15522</v>
      </c>
      <c r="C312" s="9" t="s">
        <v>8</v>
      </c>
      <c r="D312" s="10">
        <v>44111</v>
      </c>
      <c r="E312" s="10" t="str">
        <f t="shared" si="8"/>
        <v>2020</v>
      </c>
      <c r="F312" s="10">
        <v>44819</v>
      </c>
      <c r="G312" s="9">
        <v>15</v>
      </c>
      <c r="H312" s="9">
        <v>5</v>
      </c>
      <c r="I312" s="9">
        <v>22</v>
      </c>
      <c r="J312" s="9" t="s">
        <v>15</v>
      </c>
      <c r="K312" s="11" t="s">
        <v>10</v>
      </c>
      <c r="L312" t="str">
        <f t="shared" si="9"/>
        <v>1-3 Years</v>
      </c>
      <c r="O312" s="1"/>
      <c r="P312" s="6"/>
      <c r="Q312" s="7"/>
      <c r="T312"/>
      <c r="U312"/>
      <c r="Y312"/>
      <c r="Z312"/>
      <c r="AA312"/>
    </row>
    <row r="313" spans="2:27" x14ac:dyDescent="0.3">
      <c r="B31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HCP_AI2020MIDWEST153327</v>
      </c>
      <c r="C313" s="9" t="s">
        <v>8</v>
      </c>
      <c r="D313" s="10">
        <v>44096</v>
      </c>
      <c r="E313" s="10" t="str">
        <f t="shared" si="8"/>
        <v>2020</v>
      </c>
      <c r="F313" s="10">
        <v>44166</v>
      </c>
      <c r="G313" s="9">
        <v>15</v>
      </c>
      <c r="H313" s="9">
        <v>33</v>
      </c>
      <c r="I313" s="9">
        <v>27</v>
      </c>
      <c r="J313" s="9" t="s">
        <v>13</v>
      </c>
      <c r="K313" s="11" t="s">
        <v>16</v>
      </c>
      <c r="L313" t="str">
        <f t="shared" si="9"/>
        <v>10+ Years</v>
      </c>
      <c r="O313" s="1"/>
      <c r="P313" s="6"/>
      <c r="Q313" s="7"/>
      <c r="T313"/>
      <c r="U313"/>
      <c r="Y313"/>
      <c r="Z313"/>
      <c r="AA313"/>
    </row>
    <row r="314" spans="2:27" x14ac:dyDescent="0.3">
      <c r="B31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HCP_AI2020WEST152721</v>
      </c>
      <c r="C314" s="9" t="s">
        <v>8</v>
      </c>
      <c r="D314" s="10">
        <v>44068</v>
      </c>
      <c r="E314" s="10" t="str">
        <f t="shared" si="8"/>
        <v>2020</v>
      </c>
      <c r="F314" s="10">
        <v>44825</v>
      </c>
      <c r="G314" s="9">
        <v>15</v>
      </c>
      <c r="H314" s="9">
        <v>27</v>
      </c>
      <c r="I314" s="9">
        <v>21</v>
      </c>
      <c r="J314" s="9" t="s">
        <v>9</v>
      </c>
      <c r="K314" s="11" t="s">
        <v>10</v>
      </c>
      <c r="L314" t="str">
        <f t="shared" si="9"/>
        <v>10+ Years</v>
      </c>
      <c r="O314" s="1"/>
      <c r="P314" s="6"/>
      <c r="Q314" s="7"/>
      <c r="T314"/>
      <c r="U314"/>
      <c r="Y314"/>
      <c r="Z314"/>
      <c r="AA314"/>
    </row>
    <row r="315" spans="2:27" x14ac:dyDescent="0.3">
      <c r="B31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HCP_AI2021SOUTHEAST14406</v>
      </c>
      <c r="C315" s="9" t="s">
        <v>8</v>
      </c>
      <c r="D315" s="10">
        <v>44508</v>
      </c>
      <c r="E315" s="10" t="str">
        <f t="shared" si="8"/>
        <v>2021</v>
      </c>
      <c r="F315" s="10">
        <v>44508</v>
      </c>
      <c r="G315" s="9">
        <v>14</v>
      </c>
      <c r="H315" s="9">
        <v>40</v>
      </c>
      <c r="I315" s="9">
        <v>6</v>
      </c>
      <c r="J315" s="9" t="s">
        <v>19</v>
      </c>
      <c r="K315" s="11" t="s">
        <v>16</v>
      </c>
      <c r="L315" t="str">
        <f t="shared" si="9"/>
        <v>10+ Years</v>
      </c>
      <c r="O315" s="1"/>
      <c r="P315" s="6"/>
      <c r="Q315" s="7"/>
      <c r="T315"/>
      <c r="U315"/>
      <c r="Y315"/>
      <c r="Z315"/>
      <c r="AA315"/>
    </row>
    <row r="316" spans="2:27" x14ac:dyDescent="0.3">
      <c r="B31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HCP_AI2021SOUTHEAST14730</v>
      </c>
      <c r="C316" s="9" t="s">
        <v>8</v>
      </c>
      <c r="D316" s="10">
        <v>44406</v>
      </c>
      <c r="E316" s="10" t="str">
        <f t="shared" si="8"/>
        <v>2021</v>
      </c>
      <c r="F316" s="10">
        <v>44818</v>
      </c>
      <c r="G316" s="9">
        <v>14</v>
      </c>
      <c r="H316" s="9">
        <v>7</v>
      </c>
      <c r="I316" s="9">
        <v>30</v>
      </c>
      <c r="J316" s="9" t="s">
        <v>19</v>
      </c>
      <c r="K316" s="11" t="s">
        <v>10</v>
      </c>
      <c r="L316" t="str">
        <f t="shared" si="9"/>
        <v>5-10 Years</v>
      </c>
      <c r="O316" s="1"/>
      <c r="P316" s="6"/>
      <c r="Q316" s="7"/>
      <c r="T316"/>
      <c r="U316"/>
      <c r="Y316"/>
      <c r="Z316"/>
      <c r="AA316"/>
    </row>
    <row r="317" spans="2:27" x14ac:dyDescent="0.3">
      <c r="B31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HCP_PDA2021SOUTHEAST145020</v>
      </c>
      <c r="C317" s="9" t="s">
        <v>17</v>
      </c>
      <c r="D317" s="10">
        <v>44319</v>
      </c>
      <c r="E317" s="10" t="str">
        <f t="shared" si="8"/>
        <v>2021</v>
      </c>
      <c r="F317" s="10">
        <v>44619</v>
      </c>
      <c r="G317" s="9">
        <v>14</v>
      </c>
      <c r="H317" s="9">
        <v>50</v>
      </c>
      <c r="I317" s="9">
        <v>20</v>
      </c>
      <c r="J317" s="9" t="s">
        <v>19</v>
      </c>
      <c r="K317" s="11" t="s">
        <v>16</v>
      </c>
      <c r="L317" t="str">
        <f t="shared" si="9"/>
        <v>10+ Years</v>
      </c>
      <c r="O317" s="1"/>
      <c r="P317" s="6"/>
      <c r="Q317" s="7"/>
      <c r="T317"/>
      <c r="U317"/>
      <c r="Y317"/>
      <c r="Z317"/>
      <c r="AA317"/>
    </row>
    <row r="318" spans="2:27" x14ac:dyDescent="0.3">
      <c r="B31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HCP_AI2020CENTRAL141011</v>
      </c>
      <c r="C318" s="9" t="s">
        <v>8</v>
      </c>
      <c r="D318" s="10">
        <v>44158</v>
      </c>
      <c r="E318" s="10" t="str">
        <f t="shared" si="8"/>
        <v>2020</v>
      </c>
      <c r="F318" s="10">
        <v>44474</v>
      </c>
      <c r="G318" s="9">
        <v>14</v>
      </c>
      <c r="H318" s="9">
        <v>10</v>
      </c>
      <c r="I318" s="9">
        <v>11</v>
      </c>
      <c r="J318" s="9" t="s">
        <v>14</v>
      </c>
      <c r="K318" s="11" t="s">
        <v>16</v>
      </c>
      <c r="L318" t="str">
        <f t="shared" si="9"/>
        <v>10+ Years</v>
      </c>
      <c r="O318" s="1"/>
      <c r="P318" s="6"/>
      <c r="Q318" s="7"/>
      <c r="T318"/>
      <c r="U318"/>
      <c r="Y318"/>
      <c r="Z318"/>
      <c r="AA318"/>
    </row>
    <row r="319" spans="2:27" x14ac:dyDescent="0.3">
      <c r="B31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HCP_AI2020SOUTHEAST14109</v>
      </c>
      <c r="C319" s="9" t="s">
        <v>8</v>
      </c>
      <c r="D319" s="10">
        <v>44109</v>
      </c>
      <c r="E319" s="10" t="str">
        <f t="shared" si="8"/>
        <v>2020</v>
      </c>
      <c r="F319" s="10">
        <v>44295</v>
      </c>
      <c r="G319" s="9">
        <v>14</v>
      </c>
      <c r="H319" s="9">
        <v>10</v>
      </c>
      <c r="I319" s="9">
        <v>9</v>
      </c>
      <c r="J319" s="9" t="s">
        <v>19</v>
      </c>
      <c r="K319" s="11" t="s">
        <v>16</v>
      </c>
      <c r="L319" t="str">
        <f t="shared" si="9"/>
        <v>10+ Years</v>
      </c>
      <c r="O319" s="1"/>
      <c r="P319" s="6"/>
      <c r="Q319" s="7"/>
      <c r="T319"/>
      <c r="U319"/>
      <c r="Y319"/>
      <c r="Z319"/>
      <c r="AA319"/>
    </row>
    <row r="320" spans="2:27" x14ac:dyDescent="0.3">
      <c r="B32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HCP_AI2020SOUTHEAST144429</v>
      </c>
      <c r="C320" s="9" t="s">
        <v>8</v>
      </c>
      <c r="D320" s="10">
        <v>44096</v>
      </c>
      <c r="E320" s="10" t="str">
        <f t="shared" si="8"/>
        <v>2020</v>
      </c>
      <c r="F320" s="10">
        <v>44805</v>
      </c>
      <c r="G320" s="9">
        <v>14</v>
      </c>
      <c r="H320" s="9">
        <v>44</v>
      </c>
      <c r="I320" s="9">
        <v>29</v>
      </c>
      <c r="J320" s="9" t="s">
        <v>19</v>
      </c>
      <c r="K320" s="11" t="s">
        <v>10</v>
      </c>
      <c r="L320" t="str">
        <f t="shared" si="9"/>
        <v>5-10 Years</v>
      </c>
      <c r="O320" s="1"/>
      <c r="P320" s="6"/>
      <c r="Q320" s="7"/>
      <c r="T320"/>
      <c r="U320"/>
      <c r="Y320"/>
      <c r="Z320"/>
      <c r="AA320"/>
    </row>
    <row r="321" spans="2:27" x14ac:dyDescent="0.3">
      <c r="B32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HCP_AI2021NORTHEAST141320</v>
      </c>
      <c r="C321" s="9" t="s">
        <v>8</v>
      </c>
      <c r="D321" s="10">
        <v>44515</v>
      </c>
      <c r="E321" s="10" t="str">
        <f t="shared" si="8"/>
        <v>2021</v>
      </c>
      <c r="F321" s="10">
        <v>44826</v>
      </c>
      <c r="G321" s="9">
        <v>14</v>
      </c>
      <c r="H321" s="9">
        <v>13</v>
      </c>
      <c r="I321" s="9">
        <v>20</v>
      </c>
      <c r="J321" s="9" t="s">
        <v>15</v>
      </c>
      <c r="K321" s="11" t="s">
        <v>10</v>
      </c>
      <c r="L321" t="str">
        <f t="shared" si="9"/>
        <v>10+ Years</v>
      </c>
      <c r="O321" s="1"/>
      <c r="P321" s="6"/>
      <c r="Q321" s="7"/>
      <c r="T321"/>
      <c r="U321"/>
      <c r="Y321"/>
      <c r="Z321"/>
      <c r="AA321"/>
    </row>
    <row r="322" spans="2:27" x14ac:dyDescent="0.3">
      <c r="B32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HCP_PDA2021WEST13283</v>
      </c>
      <c r="C322" s="9" t="s">
        <v>17</v>
      </c>
      <c r="D322" s="10">
        <v>44363</v>
      </c>
      <c r="E322" s="10" t="str">
        <f t="shared" ref="E322:E385" si="10">TEXT(D322,"yyyy")</f>
        <v>2021</v>
      </c>
      <c r="F322" s="10">
        <v>44827</v>
      </c>
      <c r="G322" s="9">
        <v>13</v>
      </c>
      <c r="H322" s="9">
        <v>28</v>
      </c>
      <c r="I322" s="9">
        <v>3</v>
      </c>
      <c r="J322" s="9" t="s">
        <v>9</v>
      </c>
      <c r="K322" s="11" t="s">
        <v>10</v>
      </c>
      <c r="L322" t="str">
        <f t="shared" ref="L322:L385" si="11">IF(I321&lt;=1,"0-1 Years",
IF(I321&lt;=3,"1-3 Years",
IF(I321&lt;=5,"3-5 Years",
IF(I321&lt;=10,"5-10 Years",
"10+ Years"))))</f>
        <v>10+ Years</v>
      </c>
      <c r="O322" s="1"/>
      <c r="P322" s="6"/>
      <c r="Q322" s="7"/>
      <c r="T322"/>
      <c r="U322"/>
      <c r="Y322"/>
      <c r="Z322"/>
      <c r="AA322"/>
    </row>
    <row r="323" spans="2:27" x14ac:dyDescent="0.3">
      <c r="B32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HCP_AI2020MIDWEST133010</v>
      </c>
      <c r="C323" s="9" t="s">
        <v>8</v>
      </c>
      <c r="D323" s="10">
        <v>44062</v>
      </c>
      <c r="E323" s="10" t="str">
        <f t="shared" si="10"/>
        <v>2020</v>
      </c>
      <c r="F323" s="10">
        <v>44826</v>
      </c>
      <c r="G323" s="9">
        <v>13</v>
      </c>
      <c r="H323" s="9">
        <v>30</v>
      </c>
      <c r="I323" s="9">
        <v>10</v>
      </c>
      <c r="J323" s="9" t="s">
        <v>13</v>
      </c>
      <c r="K323" s="11" t="s">
        <v>10</v>
      </c>
      <c r="L323" t="str">
        <f t="shared" si="11"/>
        <v>1-3 Years</v>
      </c>
      <c r="O323" s="1"/>
      <c r="P323" s="6"/>
      <c r="Q323" s="7"/>
      <c r="T323"/>
      <c r="U323"/>
      <c r="Y323"/>
      <c r="Z323"/>
      <c r="AA323"/>
    </row>
    <row r="324" spans="2:27" x14ac:dyDescent="0.3">
      <c r="B32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HCP_AI2021SOUTHEAST1340</v>
      </c>
      <c r="C324" s="9" t="s">
        <v>8</v>
      </c>
      <c r="D324" s="10">
        <v>44221</v>
      </c>
      <c r="E324" s="10" t="str">
        <f t="shared" si="10"/>
        <v>2021</v>
      </c>
      <c r="F324" s="10">
        <v>44825</v>
      </c>
      <c r="G324" s="9">
        <v>13</v>
      </c>
      <c r="H324" s="9">
        <v>4</v>
      </c>
      <c r="I324" s="9">
        <v>0</v>
      </c>
      <c r="J324" s="9" t="s">
        <v>19</v>
      </c>
      <c r="K324" s="11" t="s">
        <v>10</v>
      </c>
      <c r="L324" t="str">
        <f t="shared" si="11"/>
        <v>5-10 Years</v>
      </c>
      <c r="O324" s="1"/>
      <c r="P324" s="6"/>
      <c r="Q324" s="7"/>
      <c r="T324"/>
      <c r="U324"/>
      <c r="Y324"/>
      <c r="Z324"/>
      <c r="AA324"/>
    </row>
    <row r="325" spans="2:27" x14ac:dyDescent="0.3">
      <c r="B32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HCP_AI2021SOUTHEAST13392</v>
      </c>
      <c r="C325" s="9" t="s">
        <v>8</v>
      </c>
      <c r="D325" s="10">
        <v>44462</v>
      </c>
      <c r="E325" s="10" t="str">
        <f t="shared" si="10"/>
        <v>2021</v>
      </c>
      <c r="F325" s="10">
        <v>44818</v>
      </c>
      <c r="G325" s="9">
        <v>13</v>
      </c>
      <c r="H325" s="9">
        <v>39</v>
      </c>
      <c r="I325" s="9">
        <v>2</v>
      </c>
      <c r="J325" s="9" t="s">
        <v>19</v>
      </c>
      <c r="K325" s="11" t="s">
        <v>10</v>
      </c>
      <c r="L325" t="str">
        <f t="shared" si="11"/>
        <v>0-1 Years</v>
      </c>
      <c r="O325" s="1"/>
      <c r="P325" s="6"/>
      <c r="Q325" s="7"/>
      <c r="T325"/>
      <c r="U325"/>
      <c r="Y325"/>
      <c r="Z325"/>
      <c r="AA325"/>
    </row>
    <row r="326" spans="2:27" x14ac:dyDescent="0.3">
      <c r="B32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HCP_AI2020NORTHEAST13266</v>
      </c>
      <c r="C326" s="9" t="s">
        <v>8</v>
      </c>
      <c r="D326" s="10">
        <v>44081</v>
      </c>
      <c r="E326" s="10" t="str">
        <f t="shared" si="10"/>
        <v>2020</v>
      </c>
      <c r="F326" s="10">
        <v>44816</v>
      </c>
      <c r="G326" s="9">
        <v>13</v>
      </c>
      <c r="H326" s="9">
        <v>26</v>
      </c>
      <c r="I326" s="9">
        <v>6</v>
      </c>
      <c r="J326" s="9" t="s">
        <v>15</v>
      </c>
      <c r="K326" s="11" t="s">
        <v>10</v>
      </c>
      <c r="L326" t="str">
        <f t="shared" si="11"/>
        <v>1-3 Years</v>
      </c>
      <c r="O326" s="1"/>
      <c r="P326" s="6"/>
      <c r="Q326" s="7"/>
      <c r="T326"/>
      <c r="U326"/>
      <c r="Y326"/>
      <c r="Z326"/>
      <c r="AA326"/>
    </row>
    <row r="327" spans="2:27" x14ac:dyDescent="0.3">
      <c r="B327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HCP_PD2021WEST122127</v>
      </c>
      <c r="C327" s="9" t="s">
        <v>20</v>
      </c>
      <c r="D327" s="10">
        <v>44539</v>
      </c>
      <c r="E327" s="10" t="str">
        <f t="shared" si="10"/>
        <v>2021</v>
      </c>
      <c r="F327" s="10">
        <v>44826</v>
      </c>
      <c r="G327" s="9">
        <v>12</v>
      </c>
      <c r="H327" s="9">
        <v>21</v>
      </c>
      <c r="I327" s="9">
        <v>27</v>
      </c>
      <c r="J327" s="9" t="s">
        <v>9</v>
      </c>
      <c r="K327" s="11" t="s">
        <v>16</v>
      </c>
      <c r="L327" t="str">
        <f t="shared" si="11"/>
        <v>5-10 Years</v>
      </c>
      <c r="O327" s="1"/>
      <c r="P327" s="6"/>
      <c r="Q327" s="7"/>
      <c r="T327"/>
      <c r="U327"/>
      <c r="Y327"/>
      <c r="Z327"/>
      <c r="AA327"/>
    </row>
    <row r="328" spans="2:27" x14ac:dyDescent="0.3">
      <c r="B32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HCP_PDE2021SOUTHEAST123414</v>
      </c>
      <c r="C328" s="9" t="s">
        <v>22</v>
      </c>
      <c r="D328" s="10">
        <v>44473</v>
      </c>
      <c r="E328" s="10" t="str">
        <f t="shared" si="10"/>
        <v>2021</v>
      </c>
      <c r="F328" s="10">
        <v>44669</v>
      </c>
      <c r="G328" s="9">
        <v>12</v>
      </c>
      <c r="H328" s="9">
        <v>34</v>
      </c>
      <c r="I328" s="9">
        <v>14</v>
      </c>
      <c r="J328" s="9" t="s">
        <v>19</v>
      </c>
      <c r="K328" s="11" t="s">
        <v>16</v>
      </c>
      <c r="L328" t="str">
        <f t="shared" si="11"/>
        <v>10+ Years</v>
      </c>
      <c r="O328" s="1"/>
      <c r="P328" s="6"/>
      <c r="Q328" s="7"/>
      <c r="T328"/>
      <c r="U328"/>
      <c r="Y328"/>
      <c r="Z328"/>
      <c r="AA328"/>
    </row>
    <row r="329" spans="2:27" x14ac:dyDescent="0.3">
      <c r="B32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HCP_AI2021WEST121916</v>
      </c>
      <c r="C329" s="9" t="s">
        <v>8</v>
      </c>
      <c r="D329" s="10">
        <v>44433</v>
      </c>
      <c r="E329" s="10" t="str">
        <f t="shared" si="10"/>
        <v>2021</v>
      </c>
      <c r="F329" s="10">
        <v>44818</v>
      </c>
      <c r="G329" s="9">
        <v>12</v>
      </c>
      <c r="H329" s="9">
        <v>19</v>
      </c>
      <c r="I329" s="9">
        <v>16</v>
      </c>
      <c r="J329" s="9" t="s">
        <v>9</v>
      </c>
      <c r="K329" s="11" t="s">
        <v>10</v>
      </c>
      <c r="L329" t="str">
        <f t="shared" si="11"/>
        <v>10+ Years</v>
      </c>
      <c r="O329" s="1"/>
      <c r="P329" s="6"/>
      <c r="Q329" s="7"/>
      <c r="T329"/>
      <c r="U329"/>
      <c r="Y329"/>
      <c r="Z329"/>
      <c r="AA329"/>
    </row>
    <row r="330" spans="2:27" x14ac:dyDescent="0.3">
      <c r="B33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HCP_AI2021MIDWEST112117</v>
      </c>
      <c r="C330" s="9" t="s">
        <v>8</v>
      </c>
      <c r="D330" s="10">
        <v>44411</v>
      </c>
      <c r="E330" s="10" t="str">
        <f t="shared" si="10"/>
        <v>2021</v>
      </c>
      <c r="F330" s="10">
        <v>44795</v>
      </c>
      <c r="G330" s="9">
        <v>11</v>
      </c>
      <c r="H330" s="9">
        <v>21</v>
      </c>
      <c r="I330" s="9">
        <v>17</v>
      </c>
      <c r="J330" s="9" t="s">
        <v>13</v>
      </c>
      <c r="K330" s="11" t="s">
        <v>10</v>
      </c>
      <c r="L330" t="str">
        <f t="shared" si="11"/>
        <v>10+ Years</v>
      </c>
      <c r="O330" s="1"/>
      <c r="P330" s="6"/>
      <c r="Q330" s="7"/>
      <c r="T330"/>
      <c r="U330"/>
      <c r="Y330"/>
      <c r="Z330"/>
      <c r="AA330"/>
    </row>
    <row r="331" spans="2:27" x14ac:dyDescent="0.3">
      <c r="B33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HCP_PDA2021SOUTHEAST11355</v>
      </c>
      <c r="C331" s="9" t="s">
        <v>17</v>
      </c>
      <c r="D331" s="10">
        <v>44363</v>
      </c>
      <c r="E331" s="10" t="str">
        <f t="shared" si="10"/>
        <v>2021</v>
      </c>
      <c r="F331" s="10">
        <v>44431</v>
      </c>
      <c r="G331" s="9">
        <v>11</v>
      </c>
      <c r="H331" s="9">
        <v>35</v>
      </c>
      <c r="I331" s="9">
        <v>5</v>
      </c>
      <c r="J331" s="9" t="s">
        <v>19</v>
      </c>
      <c r="K331" s="11" t="s">
        <v>16</v>
      </c>
      <c r="L331" t="str">
        <f t="shared" si="11"/>
        <v>10+ Years</v>
      </c>
      <c r="O331" s="1"/>
      <c r="P331" s="6"/>
      <c r="Q331" s="7"/>
      <c r="T331"/>
      <c r="U331"/>
      <c r="Y331"/>
      <c r="Z331"/>
      <c r="AA331"/>
    </row>
    <row r="332" spans="2:27" x14ac:dyDescent="0.3">
      <c r="B33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HCP_AI2020WEST114719</v>
      </c>
      <c r="C332" s="9" t="s">
        <v>8</v>
      </c>
      <c r="D332" s="10">
        <v>44146</v>
      </c>
      <c r="E332" s="10" t="str">
        <f t="shared" si="10"/>
        <v>2020</v>
      </c>
      <c r="F332" s="10">
        <v>44819</v>
      </c>
      <c r="G332" s="9">
        <v>11</v>
      </c>
      <c r="H332" s="9">
        <v>47</v>
      </c>
      <c r="I332" s="9">
        <v>19</v>
      </c>
      <c r="J332" s="9" t="s">
        <v>9</v>
      </c>
      <c r="K332" s="11" t="s">
        <v>10</v>
      </c>
      <c r="L332" t="str">
        <f t="shared" si="11"/>
        <v>3-5 Years</v>
      </c>
      <c r="O332" s="1"/>
      <c r="P332" s="6"/>
      <c r="Q332" s="7"/>
      <c r="T332"/>
      <c r="U332"/>
      <c r="Y332"/>
      <c r="Z332"/>
      <c r="AA332"/>
    </row>
    <row r="333" spans="2:27" x14ac:dyDescent="0.3">
      <c r="B33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HCP_AI2021CENTRAL10443</v>
      </c>
      <c r="C333" s="9" t="s">
        <v>8</v>
      </c>
      <c r="D333" s="10">
        <v>44481</v>
      </c>
      <c r="E333" s="10" t="str">
        <f t="shared" si="10"/>
        <v>2021</v>
      </c>
      <c r="F333" s="10">
        <v>44823</v>
      </c>
      <c r="G333" s="9">
        <v>10</v>
      </c>
      <c r="H333" s="9">
        <v>44</v>
      </c>
      <c r="I333" s="9">
        <v>3</v>
      </c>
      <c r="J333" s="9" t="s">
        <v>14</v>
      </c>
      <c r="K333" s="11" t="s">
        <v>10</v>
      </c>
      <c r="L333" t="str">
        <f t="shared" si="11"/>
        <v>10+ Years</v>
      </c>
      <c r="O333" s="1"/>
      <c r="P333" s="6"/>
      <c r="Q333" s="7"/>
      <c r="T333"/>
      <c r="U333"/>
      <c r="Y333"/>
      <c r="Z333"/>
      <c r="AA333"/>
    </row>
    <row r="334" spans="2:27" x14ac:dyDescent="0.3">
      <c r="B33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HCP_PD2021NORTHEAST101718</v>
      </c>
      <c r="C334" s="9" t="s">
        <v>20</v>
      </c>
      <c r="D334" s="10">
        <v>44355</v>
      </c>
      <c r="E334" s="10" t="str">
        <f t="shared" si="10"/>
        <v>2021</v>
      </c>
      <c r="F334" s="10">
        <v>44823</v>
      </c>
      <c r="G334" s="9">
        <v>10</v>
      </c>
      <c r="H334" s="9">
        <v>17</v>
      </c>
      <c r="I334" s="9">
        <v>18</v>
      </c>
      <c r="J334" s="9" t="s">
        <v>15</v>
      </c>
      <c r="K334" s="11" t="s">
        <v>10</v>
      </c>
      <c r="L334" t="str">
        <f t="shared" si="11"/>
        <v>1-3 Years</v>
      </c>
      <c r="O334" s="1"/>
      <c r="P334" s="6"/>
      <c r="Q334" s="7"/>
      <c r="T334"/>
      <c r="U334"/>
      <c r="Y334"/>
      <c r="Z334"/>
      <c r="AA334"/>
    </row>
    <row r="335" spans="2:27" x14ac:dyDescent="0.3">
      <c r="B33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HCP_AI2021SOUTHEAST1043</v>
      </c>
      <c r="C335" s="9" t="s">
        <v>8</v>
      </c>
      <c r="D335" s="10">
        <v>44315</v>
      </c>
      <c r="E335" s="10" t="str">
        <f t="shared" si="10"/>
        <v>2021</v>
      </c>
      <c r="F335" s="10">
        <v>44466</v>
      </c>
      <c r="G335" s="9">
        <v>10</v>
      </c>
      <c r="H335" s="9">
        <v>4</v>
      </c>
      <c r="I335" s="9">
        <v>3</v>
      </c>
      <c r="J335" s="9" t="s">
        <v>19</v>
      </c>
      <c r="K335" s="11" t="s">
        <v>16</v>
      </c>
      <c r="L335" t="str">
        <f t="shared" si="11"/>
        <v>10+ Years</v>
      </c>
      <c r="O335" s="1"/>
      <c r="P335" s="6"/>
      <c r="Q335" s="7"/>
      <c r="T335"/>
      <c r="U335"/>
      <c r="Y335"/>
      <c r="Z335"/>
      <c r="AA335"/>
    </row>
    <row r="336" spans="2:27" x14ac:dyDescent="0.3">
      <c r="B33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HCP_AI2021NORTHEAST9362</v>
      </c>
      <c r="C336" s="9" t="s">
        <v>8</v>
      </c>
      <c r="D336" s="10">
        <v>44552</v>
      </c>
      <c r="E336" s="10" t="str">
        <f t="shared" si="10"/>
        <v>2021</v>
      </c>
      <c r="F336" s="10">
        <v>44773</v>
      </c>
      <c r="G336" s="9">
        <v>9</v>
      </c>
      <c r="H336" s="9">
        <v>36</v>
      </c>
      <c r="I336" s="9">
        <v>2</v>
      </c>
      <c r="J336" s="9" t="s">
        <v>15</v>
      </c>
      <c r="K336" s="11" t="s">
        <v>10</v>
      </c>
      <c r="L336" t="str">
        <f t="shared" si="11"/>
        <v>1-3 Years</v>
      </c>
      <c r="O336" s="1"/>
      <c r="P336" s="6"/>
      <c r="Q336" s="7"/>
      <c r="T336"/>
      <c r="U336"/>
      <c r="Y336"/>
      <c r="Z336"/>
      <c r="AA336"/>
    </row>
    <row r="337" spans="2:27" x14ac:dyDescent="0.3">
      <c r="B33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HCP_AI2021SOUTHEAST9417</v>
      </c>
      <c r="C337" s="9" t="s">
        <v>8</v>
      </c>
      <c r="D337" s="10">
        <v>44539</v>
      </c>
      <c r="E337" s="10" t="str">
        <f t="shared" si="10"/>
        <v>2021</v>
      </c>
      <c r="F337" s="10">
        <v>44797</v>
      </c>
      <c r="G337" s="9">
        <v>9</v>
      </c>
      <c r="H337" s="9">
        <v>4</v>
      </c>
      <c r="I337" s="9">
        <v>17</v>
      </c>
      <c r="J337" s="9" t="s">
        <v>19</v>
      </c>
      <c r="K337" s="11" t="s">
        <v>16</v>
      </c>
      <c r="L337" t="str">
        <f t="shared" si="11"/>
        <v>1-3 Years</v>
      </c>
      <c r="O337" s="1"/>
      <c r="P337" s="6"/>
      <c r="Q337" s="7"/>
      <c r="T337"/>
      <c r="U337"/>
      <c r="Y337"/>
      <c r="Z337"/>
      <c r="AA337"/>
    </row>
    <row r="338" spans="2:27" x14ac:dyDescent="0.3">
      <c r="B33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HCP_AI2021SOUTHEAST9237</v>
      </c>
      <c r="C338" s="9" t="s">
        <v>8</v>
      </c>
      <c r="D338" s="10">
        <v>44420</v>
      </c>
      <c r="E338" s="10" t="str">
        <f t="shared" si="10"/>
        <v>2021</v>
      </c>
      <c r="F338" s="10">
        <v>44801</v>
      </c>
      <c r="G338" s="9">
        <v>9</v>
      </c>
      <c r="H338" s="9">
        <v>23</v>
      </c>
      <c r="I338" s="9">
        <v>7</v>
      </c>
      <c r="J338" s="9" t="s">
        <v>19</v>
      </c>
      <c r="K338" s="11" t="s">
        <v>10</v>
      </c>
      <c r="L338" t="str">
        <f t="shared" si="11"/>
        <v>10+ Years</v>
      </c>
      <c r="O338" s="1"/>
      <c r="P338" s="6"/>
      <c r="Q338" s="7"/>
      <c r="T338"/>
      <c r="U338"/>
      <c r="Y338"/>
      <c r="Z338"/>
      <c r="AA338"/>
    </row>
    <row r="339" spans="2:27" x14ac:dyDescent="0.3">
      <c r="B33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HCP_AI2020WEST9518</v>
      </c>
      <c r="C339" s="9" t="s">
        <v>8</v>
      </c>
      <c r="D339" s="10">
        <v>44011</v>
      </c>
      <c r="E339" s="10" t="str">
        <f t="shared" si="10"/>
        <v>2020</v>
      </c>
      <c r="F339" s="10">
        <v>44825</v>
      </c>
      <c r="G339" s="9">
        <v>9</v>
      </c>
      <c r="H339" s="9">
        <v>5</v>
      </c>
      <c r="I339" s="9">
        <v>18</v>
      </c>
      <c r="J339" s="9" t="s">
        <v>9</v>
      </c>
      <c r="K339" s="11" t="s">
        <v>10</v>
      </c>
      <c r="L339" t="str">
        <f t="shared" si="11"/>
        <v>5-10 Years</v>
      </c>
      <c r="O339" s="1"/>
      <c r="P339" s="6"/>
      <c r="Q339" s="7"/>
      <c r="T339"/>
      <c r="U339"/>
      <c r="Y339"/>
      <c r="Z339"/>
      <c r="AA339"/>
    </row>
    <row r="340" spans="2:27" x14ac:dyDescent="0.3">
      <c r="B34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HCP_AI2021NORTHEAST81212</v>
      </c>
      <c r="C340" s="9" t="s">
        <v>8</v>
      </c>
      <c r="D340" s="10">
        <v>44557</v>
      </c>
      <c r="E340" s="10" t="str">
        <f t="shared" si="10"/>
        <v>2021</v>
      </c>
      <c r="F340" s="10">
        <v>44784</v>
      </c>
      <c r="G340" s="9">
        <v>8</v>
      </c>
      <c r="H340" s="9">
        <v>12</v>
      </c>
      <c r="I340" s="9">
        <v>12</v>
      </c>
      <c r="J340" s="9" t="s">
        <v>15</v>
      </c>
      <c r="K340" s="11" t="s">
        <v>10</v>
      </c>
      <c r="L340" t="str">
        <f t="shared" si="11"/>
        <v>10+ Years</v>
      </c>
      <c r="O340" s="1"/>
      <c r="P340" s="6"/>
      <c r="Q340" s="7"/>
      <c r="T340"/>
      <c r="U340"/>
      <c r="Y340"/>
      <c r="Z340"/>
      <c r="AA340"/>
    </row>
    <row r="341" spans="2:27" x14ac:dyDescent="0.3">
      <c r="B341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HCP_A2021WEST8404</v>
      </c>
      <c r="C341" s="9" t="s">
        <v>12</v>
      </c>
      <c r="D341" s="10">
        <v>44342</v>
      </c>
      <c r="E341" s="10" t="str">
        <f t="shared" si="10"/>
        <v>2021</v>
      </c>
      <c r="F341" s="10">
        <v>44824</v>
      </c>
      <c r="G341" s="9">
        <v>8</v>
      </c>
      <c r="H341" s="9">
        <v>40</v>
      </c>
      <c r="I341" s="9">
        <v>4</v>
      </c>
      <c r="J341" s="9" t="s">
        <v>9</v>
      </c>
      <c r="K341" s="11" t="s">
        <v>10</v>
      </c>
      <c r="L341" t="str">
        <f t="shared" si="11"/>
        <v>10+ Years</v>
      </c>
      <c r="O341" s="1"/>
      <c r="P341" s="6"/>
      <c r="Q341" s="7"/>
      <c r="T341"/>
      <c r="U341"/>
      <c r="Y341"/>
      <c r="Z341"/>
      <c r="AA341"/>
    </row>
    <row r="342" spans="2:27" x14ac:dyDescent="0.3">
      <c r="B34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HCP_AI2021NORTHEAST8492</v>
      </c>
      <c r="C342" s="9" t="s">
        <v>8</v>
      </c>
      <c r="D342" s="10">
        <v>44335</v>
      </c>
      <c r="E342" s="10" t="str">
        <f t="shared" si="10"/>
        <v>2021</v>
      </c>
      <c r="F342" s="10">
        <v>44615</v>
      </c>
      <c r="G342" s="9">
        <v>8</v>
      </c>
      <c r="H342" s="9">
        <v>49</v>
      </c>
      <c r="I342" s="9">
        <v>2</v>
      </c>
      <c r="J342" s="9" t="s">
        <v>15</v>
      </c>
      <c r="K342" s="11" t="s">
        <v>16</v>
      </c>
      <c r="L342" t="str">
        <f t="shared" si="11"/>
        <v>3-5 Years</v>
      </c>
      <c r="O342" s="1"/>
      <c r="P342" s="6"/>
      <c r="Q342" s="7"/>
      <c r="T342"/>
      <c r="U342"/>
      <c r="Y342"/>
      <c r="Z342"/>
      <c r="AA342"/>
    </row>
    <row r="343" spans="2:27" x14ac:dyDescent="0.3">
      <c r="B34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HCP_AI2020MIDWEST81322</v>
      </c>
      <c r="C343" s="9" t="s">
        <v>8</v>
      </c>
      <c r="D343" s="10">
        <v>44082</v>
      </c>
      <c r="E343" s="10" t="str">
        <f t="shared" si="10"/>
        <v>2020</v>
      </c>
      <c r="F343" s="10">
        <v>44817</v>
      </c>
      <c r="G343" s="9">
        <v>8</v>
      </c>
      <c r="H343" s="9">
        <v>13</v>
      </c>
      <c r="I343" s="9">
        <v>22</v>
      </c>
      <c r="J343" s="9" t="s">
        <v>13</v>
      </c>
      <c r="K343" s="11" t="s">
        <v>10</v>
      </c>
      <c r="L343" t="str">
        <f t="shared" si="11"/>
        <v>1-3 Years</v>
      </c>
      <c r="O343" s="1"/>
      <c r="P343" s="6"/>
      <c r="Q343" s="7"/>
      <c r="T343"/>
      <c r="U343"/>
      <c r="Y343"/>
      <c r="Z343"/>
      <c r="AA343"/>
    </row>
    <row r="344" spans="2:27" x14ac:dyDescent="0.3">
      <c r="B344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HCP_AI2021MIDWEST84630</v>
      </c>
      <c r="C344" s="9" t="s">
        <v>8</v>
      </c>
      <c r="D344" s="10">
        <v>44398</v>
      </c>
      <c r="E344" s="10" t="str">
        <f t="shared" si="10"/>
        <v>2021</v>
      </c>
      <c r="F344" s="10">
        <v>44826</v>
      </c>
      <c r="G344" s="9">
        <v>8</v>
      </c>
      <c r="H344" s="9">
        <v>46</v>
      </c>
      <c r="I344" s="9">
        <v>30</v>
      </c>
      <c r="J344" s="9" t="s">
        <v>13</v>
      </c>
      <c r="K344" s="11" t="s">
        <v>10</v>
      </c>
      <c r="L344" t="str">
        <f t="shared" si="11"/>
        <v>10+ Years</v>
      </c>
      <c r="O344" s="1"/>
      <c r="P344" s="6"/>
      <c r="Q344" s="7"/>
      <c r="T344"/>
      <c r="U344"/>
      <c r="Y344"/>
      <c r="Z344"/>
      <c r="AA344"/>
    </row>
    <row r="345" spans="2:27" x14ac:dyDescent="0.3">
      <c r="B34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HCP_AI2020MIDWEST81722</v>
      </c>
      <c r="C345" s="9" t="s">
        <v>8</v>
      </c>
      <c r="D345" s="10">
        <v>44041</v>
      </c>
      <c r="E345" s="10" t="str">
        <f t="shared" si="10"/>
        <v>2020</v>
      </c>
      <c r="F345" s="10">
        <v>44824</v>
      </c>
      <c r="G345" s="9">
        <v>8</v>
      </c>
      <c r="H345" s="9">
        <v>17</v>
      </c>
      <c r="I345" s="9">
        <v>22</v>
      </c>
      <c r="J345" s="9" t="s">
        <v>13</v>
      </c>
      <c r="K345" s="11" t="s">
        <v>10</v>
      </c>
      <c r="L345" t="str">
        <f t="shared" si="11"/>
        <v>10+ Years</v>
      </c>
      <c r="O345" s="1"/>
      <c r="P345" s="6"/>
      <c r="Q345" s="7"/>
      <c r="T345"/>
      <c r="U345"/>
      <c r="Y345"/>
      <c r="Z345"/>
      <c r="AA345"/>
    </row>
    <row r="346" spans="2:27" x14ac:dyDescent="0.3">
      <c r="B34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HCP_AI2020MIDWEST82123</v>
      </c>
      <c r="C346" s="9" t="s">
        <v>8</v>
      </c>
      <c r="D346" s="10">
        <v>44039</v>
      </c>
      <c r="E346" s="10" t="str">
        <f t="shared" si="10"/>
        <v>2020</v>
      </c>
      <c r="F346" s="10">
        <v>44824</v>
      </c>
      <c r="G346" s="9">
        <v>8</v>
      </c>
      <c r="H346" s="9">
        <v>21</v>
      </c>
      <c r="I346" s="9">
        <v>23</v>
      </c>
      <c r="J346" s="9" t="s">
        <v>13</v>
      </c>
      <c r="K346" s="11" t="s">
        <v>10</v>
      </c>
      <c r="L346" t="str">
        <f t="shared" si="11"/>
        <v>10+ Years</v>
      </c>
      <c r="O346" s="1"/>
      <c r="P346" s="6"/>
      <c r="Q346" s="7"/>
      <c r="T346"/>
      <c r="U346"/>
      <c r="Y346"/>
      <c r="Z346"/>
      <c r="AA346"/>
    </row>
    <row r="347" spans="2:27" x14ac:dyDescent="0.3">
      <c r="B34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HCP_AI2020CENTRAL84028</v>
      </c>
      <c r="C347" s="9" t="s">
        <v>8</v>
      </c>
      <c r="D347" s="10">
        <v>43984</v>
      </c>
      <c r="E347" s="10" t="str">
        <f t="shared" si="10"/>
        <v>2020</v>
      </c>
      <c r="F347" s="10">
        <v>44818</v>
      </c>
      <c r="G347" s="9">
        <v>8</v>
      </c>
      <c r="H347" s="9">
        <v>40</v>
      </c>
      <c r="I347" s="9">
        <v>28</v>
      </c>
      <c r="J347" s="9" t="s">
        <v>14</v>
      </c>
      <c r="K347" s="11" t="s">
        <v>10</v>
      </c>
      <c r="L347" t="str">
        <f t="shared" si="11"/>
        <v>10+ Years</v>
      </c>
      <c r="O347" s="1"/>
      <c r="P347" s="6"/>
      <c r="Q347" s="7"/>
      <c r="T347"/>
      <c r="U347"/>
      <c r="Y347"/>
      <c r="Z347"/>
      <c r="AA347"/>
    </row>
    <row r="348" spans="2:27" x14ac:dyDescent="0.3">
      <c r="B34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HCP_AI2021MIDWEST7419</v>
      </c>
      <c r="C348" s="9" t="s">
        <v>8</v>
      </c>
      <c r="D348" s="10">
        <v>44543</v>
      </c>
      <c r="E348" s="10" t="str">
        <f t="shared" si="10"/>
        <v>2021</v>
      </c>
      <c r="F348" s="10">
        <v>44762</v>
      </c>
      <c r="G348" s="9">
        <v>7</v>
      </c>
      <c r="H348" s="9">
        <v>4</v>
      </c>
      <c r="I348" s="9">
        <v>19</v>
      </c>
      <c r="J348" s="9" t="s">
        <v>13</v>
      </c>
      <c r="K348" s="11" t="s">
        <v>16</v>
      </c>
      <c r="L348" t="str">
        <f t="shared" si="11"/>
        <v>10+ Years</v>
      </c>
      <c r="O348" s="1"/>
      <c r="P348" s="6"/>
      <c r="Q348" s="7"/>
      <c r="T348"/>
      <c r="U348"/>
      <c r="Y348"/>
      <c r="Z348"/>
      <c r="AA348"/>
    </row>
    <row r="349" spans="2:27" x14ac:dyDescent="0.3">
      <c r="B34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HCP_AI2021MIDWEST7130</v>
      </c>
      <c r="C349" s="9" t="s">
        <v>8</v>
      </c>
      <c r="D349" s="10">
        <v>44475</v>
      </c>
      <c r="E349" s="10" t="str">
        <f t="shared" si="10"/>
        <v>2021</v>
      </c>
      <c r="F349" s="10">
        <v>44817</v>
      </c>
      <c r="G349" s="9">
        <v>7</v>
      </c>
      <c r="H349" s="9">
        <v>1</v>
      </c>
      <c r="I349" s="9">
        <v>30</v>
      </c>
      <c r="J349" s="9" t="s">
        <v>13</v>
      </c>
      <c r="K349" s="11" t="s">
        <v>10</v>
      </c>
      <c r="L349" t="str">
        <f t="shared" si="11"/>
        <v>10+ Years</v>
      </c>
      <c r="O349" s="1"/>
      <c r="P349" s="6"/>
      <c r="Q349" s="7"/>
      <c r="T349"/>
      <c r="U349"/>
      <c r="Y349"/>
      <c r="Z349"/>
      <c r="AA349"/>
    </row>
    <row r="350" spans="2:27" x14ac:dyDescent="0.3">
      <c r="B35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HCP_AI2021NORTHEAST74517</v>
      </c>
      <c r="C350" s="9" t="s">
        <v>8</v>
      </c>
      <c r="D350" s="10">
        <v>44314</v>
      </c>
      <c r="E350" s="10" t="str">
        <f t="shared" si="10"/>
        <v>2021</v>
      </c>
      <c r="F350" s="10">
        <v>44824</v>
      </c>
      <c r="G350" s="9">
        <v>7</v>
      </c>
      <c r="H350" s="9">
        <v>45</v>
      </c>
      <c r="I350" s="9">
        <v>17</v>
      </c>
      <c r="J350" s="9" t="s">
        <v>15</v>
      </c>
      <c r="K350" s="11" t="s">
        <v>10</v>
      </c>
      <c r="L350" t="str">
        <f t="shared" si="11"/>
        <v>10+ Years</v>
      </c>
      <c r="O350" s="1"/>
      <c r="P350" s="6"/>
      <c r="Q350" s="7"/>
      <c r="T350"/>
      <c r="U350"/>
      <c r="Y350"/>
      <c r="Z350"/>
      <c r="AA350"/>
    </row>
    <row r="351" spans="2:27" x14ac:dyDescent="0.3">
      <c r="B35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HCP_AI2020SOUTHEAST7175</v>
      </c>
      <c r="C351" s="9" t="s">
        <v>8</v>
      </c>
      <c r="D351" s="10">
        <v>43998</v>
      </c>
      <c r="E351" s="10" t="str">
        <f t="shared" si="10"/>
        <v>2020</v>
      </c>
      <c r="F351" s="10">
        <v>44195</v>
      </c>
      <c r="G351" s="9">
        <v>7</v>
      </c>
      <c r="H351" s="9">
        <v>17</v>
      </c>
      <c r="I351" s="9">
        <v>5</v>
      </c>
      <c r="J351" s="9" t="s">
        <v>19</v>
      </c>
      <c r="K351" s="11" t="s">
        <v>16</v>
      </c>
      <c r="L351" t="str">
        <f t="shared" si="11"/>
        <v>10+ Years</v>
      </c>
      <c r="O351" s="1"/>
      <c r="P351" s="6"/>
      <c r="Q351" s="7"/>
      <c r="T351"/>
      <c r="U351"/>
      <c r="Y351"/>
      <c r="Z351"/>
      <c r="AA351"/>
    </row>
    <row r="352" spans="2:27" x14ac:dyDescent="0.3">
      <c r="B35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HCP_AI2020NORTHEAST72922</v>
      </c>
      <c r="C352" s="9" t="s">
        <v>8</v>
      </c>
      <c r="D352" s="10">
        <v>43956</v>
      </c>
      <c r="E352" s="10" t="str">
        <f t="shared" si="10"/>
        <v>2020</v>
      </c>
      <c r="F352" s="10">
        <v>44826</v>
      </c>
      <c r="G352" s="9">
        <v>7</v>
      </c>
      <c r="H352" s="9">
        <v>29</v>
      </c>
      <c r="I352" s="9">
        <v>22</v>
      </c>
      <c r="J352" s="9" t="s">
        <v>15</v>
      </c>
      <c r="K352" s="11" t="s">
        <v>10</v>
      </c>
      <c r="L352" t="str">
        <f t="shared" si="11"/>
        <v>3-5 Years</v>
      </c>
      <c r="O352" s="1"/>
      <c r="P352" s="6"/>
      <c r="Q352" s="7"/>
      <c r="T352"/>
      <c r="U352"/>
      <c r="Y352"/>
      <c r="Z352"/>
      <c r="AA352"/>
    </row>
    <row r="353" spans="2:27" x14ac:dyDescent="0.3">
      <c r="B35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HCP_PD2021CENTRAL6124</v>
      </c>
      <c r="C353" s="9" t="s">
        <v>20</v>
      </c>
      <c r="D353" s="10">
        <v>44459</v>
      </c>
      <c r="E353" s="10" t="str">
        <f t="shared" si="10"/>
        <v>2021</v>
      </c>
      <c r="F353" s="10">
        <v>44797</v>
      </c>
      <c r="G353" s="9">
        <v>6</v>
      </c>
      <c r="H353" s="9">
        <v>1</v>
      </c>
      <c r="I353" s="9">
        <v>24</v>
      </c>
      <c r="J353" s="9" t="s">
        <v>14</v>
      </c>
      <c r="K353" s="11" t="s">
        <v>10</v>
      </c>
      <c r="L353" t="str">
        <f t="shared" si="11"/>
        <v>10+ Years</v>
      </c>
      <c r="O353" s="1"/>
      <c r="P353" s="6"/>
      <c r="Q353" s="7"/>
      <c r="T353"/>
      <c r="U353"/>
      <c r="Y353"/>
      <c r="Z353"/>
      <c r="AA353"/>
    </row>
    <row r="354" spans="2:27" x14ac:dyDescent="0.3">
      <c r="B35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HCP_PDA2021SOUTHEAST6100</v>
      </c>
      <c r="C354" s="9" t="s">
        <v>17</v>
      </c>
      <c r="D354" s="10">
        <v>44361</v>
      </c>
      <c r="E354" s="10" t="str">
        <f t="shared" si="10"/>
        <v>2021</v>
      </c>
      <c r="F354" s="10">
        <v>44827</v>
      </c>
      <c r="G354" s="9">
        <v>6</v>
      </c>
      <c r="H354" s="9">
        <v>10</v>
      </c>
      <c r="I354" s="9">
        <v>0</v>
      </c>
      <c r="J354" s="9" t="s">
        <v>19</v>
      </c>
      <c r="K354" s="11" t="s">
        <v>10</v>
      </c>
      <c r="L354" t="str">
        <f t="shared" si="11"/>
        <v>10+ Years</v>
      </c>
      <c r="O354" s="1"/>
      <c r="P354" s="6"/>
      <c r="Q354" s="7"/>
      <c r="T354"/>
      <c r="U354"/>
      <c r="Y354"/>
      <c r="Z354"/>
      <c r="AA354"/>
    </row>
    <row r="355" spans="2:27" x14ac:dyDescent="0.3">
      <c r="B355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HCP_PDA2020MIDWEST62924</v>
      </c>
      <c r="C355" s="9" t="s">
        <v>17</v>
      </c>
      <c r="D355" s="10">
        <v>44172</v>
      </c>
      <c r="E355" s="10" t="str">
        <f t="shared" si="10"/>
        <v>2020</v>
      </c>
      <c r="F355" s="10">
        <v>44825</v>
      </c>
      <c r="G355" s="9">
        <v>6</v>
      </c>
      <c r="H355" s="9">
        <v>29</v>
      </c>
      <c r="I355" s="9">
        <v>24</v>
      </c>
      <c r="J355" s="9" t="s">
        <v>13</v>
      </c>
      <c r="K355" s="11" t="s">
        <v>10</v>
      </c>
      <c r="L355" t="str">
        <f t="shared" si="11"/>
        <v>0-1 Years</v>
      </c>
      <c r="O355" s="1"/>
      <c r="P355" s="6"/>
      <c r="Q355" s="7"/>
      <c r="T355"/>
      <c r="U355"/>
      <c r="Y355"/>
      <c r="Z355"/>
      <c r="AA355"/>
    </row>
    <row r="356" spans="2:27" x14ac:dyDescent="0.3">
      <c r="B35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HCP_AI2020SOUTHEAST611</v>
      </c>
      <c r="C356" s="9" t="s">
        <v>8</v>
      </c>
      <c r="D356" s="10">
        <v>44145</v>
      </c>
      <c r="E356" s="10" t="str">
        <f t="shared" si="10"/>
        <v>2020</v>
      </c>
      <c r="F356" s="10">
        <v>44824</v>
      </c>
      <c r="G356" s="9">
        <v>6</v>
      </c>
      <c r="H356" s="9">
        <v>1</v>
      </c>
      <c r="I356" s="9">
        <v>1</v>
      </c>
      <c r="J356" s="9" t="s">
        <v>19</v>
      </c>
      <c r="K356" s="11" t="s">
        <v>10</v>
      </c>
      <c r="L356" t="str">
        <f t="shared" si="11"/>
        <v>10+ Years</v>
      </c>
      <c r="O356" s="1"/>
      <c r="P356" s="6"/>
      <c r="Q356" s="7"/>
      <c r="T356"/>
      <c r="U356"/>
      <c r="Y356"/>
      <c r="Z356"/>
      <c r="AA356"/>
    </row>
    <row r="357" spans="2:27" x14ac:dyDescent="0.3">
      <c r="B35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HCP_AI2020SOUTHEAST6282</v>
      </c>
      <c r="C357" s="9" t="s">
        <v>8</v>
      </c>
      <c r="D357" s="10">
        <v>44025</v>
      </c>
      <c r="E357" s="10" t="str">
        <f t="shared" si="10"/>
        <v>2020</v>
      </c>
      <c r="F357" s="10">
        <v>44213</v>
      </c>
      <c r="G357" s="9">
        <v>6</v>
      </c>
      <c r="H357" s="9">
        <v>28</v>
      </c>
      <c r="I357" s="9">
        <v>2</v>
      </c>
      <c r="J357" s="9" t="s">
        <v>19</v>
      </c>
      <c r="K357" s="11" t="s">
        <v>16</v>
      </c>
      <c r="L357" t="str">
        <f t="shared" si="11"/>
        <v>0-1 Years</v>
      </c>
      <c r="O357" s="1"/>
      <c r="P357" s="6"/>
      <c r="Q357" s="7"/>
      <c r="T357"/>
      <c r="U357"/>
      <c r="Y357"/>
      <c r="Z357"/>
      <c r="AA357"/>
    </row>
    <row r="358" spans="2:27" x14ac:dyDescent="0.3">
      <c r="B35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HCP_PDA2021CENTRAL5827</v>
      </c>
      <c r="C358" s="9" t="s">
        <v>17</v>
      </c>
      <c r="D358" s="10">
        <v>44545</v>
      </c>
      <c r="E358" s="10" t="str">
        <f t="shared" si="10"/>
        <v>2021</v>
      </c>
      <c r="F358" s="10">
        <v>44826</v>
      </c>
      <c r="G358" s="9">
        <v>5</v>
      </c>
      <c r="H358" s="9">
        <v>8</v>
      </c>
      <c r="I358" s="9">
        <v>27</v>
      </c>
      <c r="J358" s="9" t="s">
        <v>14</v>
      </c>
      <c r="K358" s="11" t="s">
        <v>10</v>
      </c>
      <c r="L358" t="str">
        <f t="shared" si="11"/>
        <v>1-3 Years</v>
      </c>
      <c r="O358" s="1"/>
      <c r="P358" s="6"/>
      <c r="Q358" s="7"/>
      <c r="T358"/>
      <c r="U358"/>
      <c r="Y358"/>
      <c r="Z358"/>
      <c r="AA358"/>
    </row>
    <row r="359" spans="2:27" x14ac:dyDescent="0.3">
      <c r="B35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HCP_AI2021WEST52914</v>
      </c>
      <c r="C359" s="9" t="s">
        <v>8</v>
      </c>
      <c r="D359" s="10">
        <v>44382</v>
      </c>
      <c r="E359" s="10" t="str">
        <f t="shared" si="10"/>
        <v>2021</v>
      </c>
      <c r="F359" s="10">
        <v>44816</v>
      </c>
      <c r="G359" s="9">
        <v>5</v>
      </c>
      <c r="H359" s="9">
        <v>29</v>
      </c>
      <c r="I359" s="9">
        <v>14</v>
      </c>
      <c r="J359" s="9" t="s">
        <v>9</v>
      </c>
      <c r="K359" s="11" t="s">
        <v>10</v>
      </c>
      <c r="L359" t="str">
        <f t="shared" si="11"/>
        <v>10+ Years</v>
      </c>
      <c r="O359" s="1"/>
      <c r="P359" s="6"/>
      <c r="Q359" s="7"/>
      <c r="T359"/>
      <c r="U359"/>
      <c r="Y359"/>
      <c r="Z359"/>
      <c r="AA359"/>
    </row>
    <row r="360" spans="2:27" x14ac:dyDescent="0.3">
      <c r="B360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HCP_AI2021MIDWEST5249</v>
      </c>
      <c r="C360" s="9" t="s">
        <v>8</v>
      </c>
      <c r="D360" s="10">
        <v>44349</v>
      </c>
      <c r="E360" s="10" t="str">
        <f t="shared" si="10"/>
        <v>2021</v>
      </c>
      <c r="F360" s="10">
        <v>44503</v>
      </c>
      <c r="G360" s="9">
        <v>5</v>
      </c>
      <c r="H360" s="9">
        <v>24</v>
      </c>
      <c r="I360" s="9">
        <v>9</v>
      </c>
      <c r="J360" s="9" t="s">
        <v>13</v>
      </c>
      <c r="K360" s="11" t="s">
        <v>16</v>
      </c>
      <c r="L360" t="str">
        <f t="shared" si="11"/>
        <v>10+ Years</v>
      </c>
      <c r="O360" s="1"/>
      <c r="P360" s="6"/>
      <c r="Q360" s="7"/>
      <c r="T360"/>
      <c r="U360"/>
      <c r="Y360"/>
      <c r="Z360"/>
      <c r="AA360"/>
    </row>
    <row r="361" spans="2:27" x14ac:dyDescent="0.3">
      <c r="B36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HCP_AI2021WEST53013</v>
      </c>
      <c r="C361" s="9" t="s">
        <v>8</v>
      </c>
      <c r="D361" s="10">
        <v>44272</v>
      </c>
      <c r="E361" s="10" t="str">
        <f t="shared" si="10"/>
        <v>2021</v>
      </c>
      <c r="F361" s="10">
        <v>44795</v>
      </c>
      <c r="G361" s="9">
        <v>5</v>
      </c>
      <c r="H361" s="9">
        <v>30</v>
      </c>
      <c r="I361" s="9">
        <v>13</v>
      </c>
      <c r="J361" s="9" t="s">
        <v>9</v>
      </c>
      <c r="K361" s="11" t="s">
        <v>10</v>
      </c>
      <c r="L361" t="str">
        <f t="shared" si="11"/>
        <v>5-10 Years</v>
      </c>
      <c r="O361" s="1"/>
      <c r="P361" s="6"/>
      <c r="Q361" s="7"/>
      <c r="T361"/>
      <c r="U361"/>
      <c r="Y361"/>
      <c r="Z361"/>
      <c r="AA361"/>
    </row>
    <row r="362" spans="2:27" x14ac:dyDescent="0.3">
      <c r="B36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HCP_AI2021CENTRAL5503</v>
      </c>
      <c r="C362" s="9" t="s">
        <v>8</v>
      </c>
      <c r="D362" s="10">
        <v>44235</v>
      </c>
      <c r="E362" s="10" t="str">
        <f t="shared" si="10"/>
        <v>2021</v>
      </c>
      <c r="F362" s="10">
        <v>44826</v>
      </c>
      <c r="G362" s="9">
        <v>5</v>
      </c>
      <c r="H362" s="9">
        <v>50</v>
      </c>
      <c r="I362" s="9">
        <v>3</v>
      </c>
      <c r="J362" s="9" t="s">
        <v>14</v>
      </c>
      <c r="K362" s="11" t="s">
        <v>10</v>
      </c>
      <c r="L362" t="str">
        <f t="shared" si="11"/>
        <v>10+ Years</v>
      </c>
      <c r="O362" s="1"/>
      <c r="P362" s="6"/>
      <c r="Q362" s="7"/>
      <c r="T362"/>
      <c r="U362"/>
      <c r="Y362"/>
      <c r="Z362"/>
      <c r="AA362"/>
    </row>
    <row r="363" spans="2:27" x14ac:dyDescent="0.3">
      <c r="B36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HCP_AI2020NORTHEAST51227</v>
      </c>
      <c r="C363" s="9" t="s">
        <v>8</v>
      </c>
      <c r="D363" s="10">
        <v>44172</v>
      </c>
      <c r="E363" s="10" t="str">
        <f t="shared" si="10"/>
        <v>2020</v>
      </c>
      <c r="F363" s="10">
        <v>44820</v>
      </c>
      <c r="G363" s="9">
        <v>5</v>
      </c>
      <c r="H363" s="9">
        <v>12</v>
      </c>
      <c r="I363" s="9">
        <v>27</v>
      </c>
      <c r="J363" s="9" t="s">
        <v>15</v>
      </c>
      <c r="K363" s="11" t="s">
        <v>10</v>
      </c>
      <c r="L363" t="str">
        <f t="shared" si="11"/>
        <v>1-3 Years</v>
      </c>
      <c r="O363" s="1"/>
      <c r="P363" s="6"/>
      <c r="Q363" s="7"/>
      <c r="T363"/>
      <c r="U363"/>
      <c r="Y363"/>
      <c r="Z363"/>
      <c r="AA363"/>
    </row>
    <row r="364" spans="2:27" x14ac:dyDescent="0.3">
      <c r="B36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HCP_PDA2020SOUTHEAST51122</v>
      </c>
      <c r="C364" s="9" t="s">
        <v>17</v>
      </c>
      <c r="D364" s="10">
        <v>44133</v>
      </c>
      <c r="E364" s="10" t="str">
        <f t="shared" si="10"/>
        <v>2020</v>
      </c>
      <c r="F364" s="10">
        <v>44823</v>
      </c>
      <c r="G364" s="9">
        <v>5</v>
      </c>
      <c r="H364" s="9">
        <v>11</v>
      </c>
      <c r="I364" s="9">
        <v>22</v>
      </c>
      <c r="J364" s="9" t="s">
        <v>19</v>
      </c>
      <c r="K364" s="11" t="s">
        <v>10</v>
      </c>
      <c r="L364" t="str">
        <f t="shared" si="11"/>
        <v>10+ Years</v>
      </c>
      <c r="O364" s="1"/>
      <c r="P364" s="6"/>
      <c r="Q364" s="7"/>
      <c r="T364"/>
      <c r="U364"/>
      <c r="Y364"/>
      <c r="Z364"/>
      <c r="AA364"/>
    </row>
    <row r="365" spans="2:27" x14ac:dyDescent="0.3">
      <c r="B36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HCP_AI2020SOUTHEAST54510</v>
      </c>
      <c r="C365" s="9" t="s">
        <v>8</v>
      </c>
      <c r="D365" s="10">
        <v>44102</v>
      </c>
      <c r="E365" s="10" t="str">
        <f t="shared" si="10"/>
        <v>2020</v>
      </c>
      <c r="F365" s="10">
        <v>44816</v>
      </c>
      <c r="G365" s="9">
        <v>5</v>
      </c>
      <c r="H365" s="9">
        <v>45</v>
      </c>
      <c r="I365" s="9">
        <v>10</v>
      </c>
      <c r="J365" s="9" t="s">
        <v>19</v>
      </c>
      <c r="K365" s="11" t="s">
        <v>10</v>
      </c>
      <c r="L365" t="str">
        <f t="shared" si="11"/>
        <v>10+ Years</v>
      </c>
      <c r="O365" s="1"/>
      <c r="P365" s="6"/>
      <c r="Q365" s="7"/>
      <c r="T365"/>
      <c r="U365"/>
      <c r="Y365"/>
      <c r="Z365"/>
      <c r="AA365"/>
    </row>
    <row r="366" spans="2:27" x14ac:dyDescent="0.3">
      <c r="B366" s="8" t="str">
        <f>"HCP_"&amp;Table1[[#This Row],[Specialty]]&amp;Table1[[#This Row],[Rx_Start_Year]]&amp;Table1[[#This Row],[Area Name]]&amp;Table1[[#This Row],[Enrollments]]&amp;Table1[[#This Row],[NPS]]&amp;Table1[[#This Row],[Discontinuations]]</f>
        <v>HCP_GP2020CENTRAL5427</v>
      </c>
      <c r="C366" s="9" t="s">
        <v>23</v>
      </c>
      <c r="D366" s="10">
        <v>44084</v>
      </c>
      <c r="E366" s="10" t="str">
        <f t="shared" si="10"/>
        <v>2020</v>
      </c>
      <c r="F366" s="10">
        <v>44585</v>
      </c>
      <c r="G366" s="9">
        <v>5</v>
      </c>
      <c r="H366" s="9">
        <v>4</v>
      </c>
      <c r="I366" s="9">
        <v>27</v>
      </c>
      <c r="J366" s="9" t="s">
        <v>14</v>
      </c>
      <c r="K366" s="11" t="s">
        <v>16</v>
      </c>
      <c r="L366" t="str">
        <f t="shared" si="11"/>
        <v>5-10 Years</v>
      </c>
      <c r="O366" s="1"/>
      <c r="P366" s="6"/>
      <c r="Q366" s="7"/>
      <c r="T366"/>
      <c r="U366"/>
      <c r="Y366"/>
      <c r="Z366"/>
      <c r="AA366"/>
    </row>
    <row r="367" spans="2:27" x14ac:dyDescent="0.3">
      <c r="B36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HCP_AI2022NA4116</v>
      </c>
      <c r="C367" s="9" t="s">
        <v>8</v>
      </c>
      <c r="D367" s="10">
        <v>44585</v>
      </c>
      <c r="E367" s="10" t="str">
        <f t="shared" si="10"/>
        <v>2022</v>
      </c>
      <c r="F367" s="10">
        <v>44825</v>
      </c>
      <c r="G367" s="9">
        <v>4</v>
      </c>
      <c r="H367" s="9">
        <v>1</v>
      </c>
      <c r="I367" s="9">
        <v>16</v>
      </c>
      <c r="J367" s="9" t="s">
        <v>11</v>
      </c>
      <c r="K367" s="11" t="s">
        <v>10</v>
      </c>
      <c r="L367" t="str">
        <f t="shared" si="11"/>
        <v>10+ Years</v>
      </c>
      <c r="O367" s="1"/>
      <c r="P367" s="6"/>
      <c r="Q367" s="7"/>
      <c r="T367"/>
      <c r="U367"/>
      <c r="Y367"/>
      <c r="Z367"/>
      <c r="AA367"/>
    </row>
    <row r="368" spans="2:27" x14ac:dyDescent="0.3">
      <c r="B36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HCP_PDA2021MIDWEST4151</v>
      </c>
      <c r="C368" s="9" t="s">
        <v>17</v>
      </c>
      <c r="D368" s="10">
        <v>44276</v>
      </c>
      <c r="E368" s="10" t="str">
        <f t="shared" si="10"/>
        <v>2021</v>
      </c>
      <c r="F368" s="10">
        <v>44816</v>
      </c>
      <c r="G368" s="9">
        <v>4</v>
      </c>
      <c r="H368" s="9">
        <v>15</v>
      </c>
      <c r="I368" s="9">
        <v>1</v>
      </c>
      <c r="J368" s="9" t="s">
        <v>13</v>
      </c>
      <c r="K368" s="11" t="s">
        <v>10</v>
      </c>
      <c r="L368" t="str">
        <f t="shared" si="11"/>
        <v>10+ Years</v>
      </c>
      <c r="O368" s="1"/>
      <c r="P368" s="6"/>
      <c r="Q368" s="7"/>
      <c r="T368"/>
      <c r="U368"/>
      <c r="Y368"/>
      <c r="Z368"/>
      <c r="AA368"/>
    </row>
    <row r="369" spans="2:27" x14ac:dyDescent="0.3">
      <c r="B36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HCP_AI2020WEST45011</v>
      </c>
      <c r="C369" s="9" t="s">
        <v>8</v>
      </c>
      <c r="D369" s="10">
        <v>44138</v>
      </c>
      <c r="E369" s="10" t="str">
        <f t="shared" si="10"/>
        <v>2020</v>
      </c>
      <c r="F369" s="10">
        <v>44138</v>
      </c>
      <c r="G369" s="9">
        <v>4</v>
      </c>
      <c r="H369" s="9">
        <v>50</v>
      </c>
      <c r="I369" s="9">
        <v>11</v>
      </c>
      <c r="J369" s="9" t="s">
        <v>9</v>
      </c>
      <c r="K369" s="11" t="s">
        <v>16</v>
      </c>
      <c r="L369" t="str">
        <f t="shared" si="11"/>
        <v>0-1 Years</v>
      </c>
      <c r="O369" s="1"/>
      <c r="P369" s="6"/>
      <c r="Q369" s="7"/>
      <c r="T369"/>
      <c r="U369"/>
      <c r="Y369"/>
      <c r="Z369"/>
      <c r="AA369"/>
    </row>
    <row r="370" spans="2:27" x14ac:dyDescent="0.3">
      <c r="B370" s="8" t="str">
        <f>"HCP_"&amp;Table1[[#This Row],[Specialty]]&amp;Table1[[#This Row],[Rx_Start_Year]]&amp;Table1[[#This Row],[Area Name]]&amp;Table1[[#This Row],[Enrollments]]&amp;Table1[[#This Row],[NPS]]&amp;Table1[[#This Row],[Discontinuations]]</f>
        <v>HCP_A2021MIDWEST3155</v>
      </c>
      <c r="C370" s="9" t="s">
        <v>12</v>
      </c>
      <c r="D370" s="10">
        <v>44494</v>
      </c>
      <c r="E370" s="10" t="str">
        <f t="shared" si="10"/>
        <v>2021</v>
      </c>
      <c r="F370" s="10">
        <v>44816</v>
      </c>
      <c r="G370" s="9">
        <v>3</v>
      </c>
      <c r="H370" s="9">
        <v>15</v>
      </c>
      <c r="I370" s="9">
        <v>5</v>
      </c>
      <c r="J370" s="9" t="s">
        <v>13</v>
      </c>
      <c r="K370" s="11" t="s">
        <v>10</v>
      </c>
      <c r="L370" t="str">
        <f t="shared" si="11"/>
        <v>10+ Years</v>
      </c>
      <c r="O370" s="1"/>
      <c r="P370" s="6"/>
      <c r="Q370" s="7"/>
      <c r="T370"/>
      <c r="U370"/>
      <c r="Y370"/>
      <c r="Z370"/>
      <c r="AA370"/>
    </row>
    <row r="371" spans="2:27" x14ac:dyDescent="0.3">
      <c r="B37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HCP_AI2021SOUTHEAST31510</v>
      </c>
      <c r="C371" s="9" t="s">
        <v>8</v>
      </c>
      <c r="D371" s="10">
        <v>44272</v>
      </c>
      <c r="E371" s="10" t="str">
        <f t="shared" si="10"/>
        <v>2021</v>
      </c>
      <c r="F371" s="10">
        <v>44819</v>
      </c>
      <c r="G371" s="9">
        <v>3</v>
      </c>
      <c r="H371" s="9">
        <v>15</v>
      </c>
      <c r="I371" s="9">
        <v>10</v>
      </c>
      <c r="J371" s="9" t="s">
        <v>19</v>
      </c>
      <c r="K371" s="11" t="s">
        <v>10</v>
      </c>
      <c r="L371" t="str">
        <f t="shared" si="11"/>
        <v>3-5 Years</v>
      </c>
      <c r="O371" s="1"/>
      <c r="P371" s="6"/>
      <c r="Q371" s="7"/>
      <c r="T371"/>
      <c r="U371"/>
      <c r="Y371"/>
      <c r="Z371"/>
      <c r="AA371"/>
    </row>
    <row r="372" spans="2:27" x14ac:dyDescent="0.3">
      <c r="B37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HCP_PDA2021NORTHEAST3221</v>
      </c>
      <c r="C372" s="9" t="s">
        <v>17</v>
      </c>
      <c r="D372" s="10">
        <v>44270</v>
      </c>
      <c r="E372" s="10" t="str">
        <f t="shared" si="10"/>
        <v>2021</v>
      </c>
      <c r="F372" s="10">
        <v>44826</v>
      </c>
      <c r="G372" s="9">
        <v>3</v>
      </c>
      <c r="H372" s="9">
        <v>22</v>
      </c>
      <c r="I372" s="9">
        <v>1</v>
      </c>
      <c r="J372" s="9" t="s">
        <v>15</v>
      </c>
      <c r="K372" s="11" t="s">
        <v>10</v>
      </c>
      <c r="L372" t="str">
        <f t="shared" si="11"/>
        <v>5-10 Years</v>
      </c>
      <c r="O372" s="1"/>
      <c r="P372" s="6"/>
      <c r="Q372" s="7"/>
      <c r="T372"/>
      <c r="U372"/>
      <c r="Y372"/>
      <c r="Z372"/>
      <c r="AA372"/>
    </row>
    <row r="373" spans="2:27" x14ac:dyDescent="0.3">
      <c r="B373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HCP_AI2020SOUTHEAST3151</v>
      </c>
      <c r="C373" s="9" t="s">
        <v>8</v>
      </c>
      <c r="D373" s="10">
        <v>43991</v>
      </c>
      <c r="E373" s="10" t="str">
        <f t="shared" si="10"/>
        <v>2020</v>
      </c>
      <c r="F373" s="10">
        <v>44818</v>
      </c>
      <c r="G373" s="9">
        <v>3</v>
      </c>
      <c r="H373" s="9">
        <v>15</v>
      </c>
      <c r="I373" s="9">
        <v>1</v>
      </c>
      <c r="J373" s="9" t="s">
        <v>19</v>
      </c>
      <c r="K373" s="11" t="s">
        <v>10</v>
      </c>
      <c r="L373" t="str">
        <f t="shared" si="11"/>
        <v>0-1 Years</v>
      </c>
      <c r="O373" s="1"/>
      <c r="P373" s="6"/>
      <c r="Q373" s="7"/>
      <c r="T373"/>
      <c r="U373"/>
      <c r="Y373"/>
      <c r="Z373"/>
      <c r="AA373"/>
    </row>
    <row r="374" spans="2:27" x14ac:dyDescent="0.3">
      <c r="B374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HCP_PDA2022WEST24127</v>
      </c>
      <c r="C374" s="9" t="s">
        <v>17</v>
      </c>
      <c r="D374" s="10">
        <v>44581</v>
      </c>
      <c r="E374" s="10" t="str">
        <f t="shared" si="10"/>
        <v>2022</v>
      </c>
      <c r="F374" s="10">
        <v>44819</v>
      </c>
      <c r="G374" s="9">
        <v>2</v>
      </c>
      <c r="H374" s="9">
        <v>41</v>
      </c>
      <c r="I374" s="9">
        <v>27</v>
      </c>
      <c r="J374" s="9" t="s">
        <v>9</v>
      </c>
      <c r="K374" s="11" t="s">
        <v>10</v>
      </c>
      <c r="L374" t="str">
        <f t="shared" si="11"/>
        <v>0-1 Years</v>
      </c>
      <c r="O374" s="1"/>
      <c r="P374" s="6"/>
      <c r="Q374" s="7"/>
      <c r="T374"/>
      <c r="U374"/>
      <c r="Y374"/>
      <c r="Z374"/>
      <c r="AA374"/>
    </row>
    <row r="375" spans="2:27" x14ac:dyDescent="0.3">
      <c r="B37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HCP_AI2021CENTRAL2501</v>
      </c>
      <c r="C375" s="9" t="s">
        <v>8</v>
      </c>
      <c r="D375" s="10">
        <v>44354</v>
      </c>
      <c r="E375" s="10" t="str">
        <f t="shared" si="10"/>
        <v>2021</v>
      </c>
      <c r="F375" s="10">
        <v>44805</v>
      </c>
      <c r="G375" s="9">
        <v>2</v>
      </c>
      <c r="H375" s="9">
        <v>50</v>
      </c>
      <c r="I375" s="9">
        <v>1</v>
      </c>
      <c r="J375" s="9" t="s">
        <v>14</v>
      </c>
      <c r="K375" s="11" t="s">
        <v>10</v>
      </c>
      <c r="L375" t="str">
        <f t="shared" si="11"/>
        <v>10+ Years</v>
      </c>
      <c r="O375" s="1"/>
      <c r="P375" s="6"/>
      <c r="Q375" s="7"/>
      <c r="T375"/>
      <c r="U375"/>
      <c r="Y375"/>
      <c r="Z375"/>
      <c r="AA375"/>
    </row>
    <row r="376" spans="2:27" x14ac:dyDescent="0.3">
      <c r="B37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HCP_AI2021MIDWEST22815</v>
      </c>
      <c r="C376" s="9" t="s">
        <v>8</v>
      </c>
      <c r="D376" s="10">
        <v>44312</v>
      </c>
      <c r="E376" s="10" t="str">
        <f t="shared" si="10"/>
        <v>2021</v>
      </c>
      <c r="F376" s="10">
        <v>44823</v>
      </c>
      <c r="G376" s="9">
        <v>2</v>
      </c>
      <c r="H376" s="9">
        <v>28</v>
      </c>
      <c r="I376" s="9">
        <v>15</v>
      </c>
      <c r="J376" s="9" t="s">
        <v>13</v>
      </c>
      <c r="K376" s="11" t="s">
        <v>10</v>
      </c>
      <c r="L376" t="str">
        <f t="shared" si="11"/>
        <v>0-1 Years</v>
      </c>
      <c r="O376" s="1"/>
      <c r="P376" s="6"/>
      <c r="Q376" s="7"/>
      <c r="T376"/>
      <c r="U376"/>
      <c r="Y376"/>
      <c r="Z376"/>
      <c r="AA376"/>
    </row>
    <row r="377" spans="2:27" x14ac:dyDescent="0.3">
      <c r="B37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HCP_AI2020CENTRAL242</v>
      </c>
      <c r="C377" s="9" t="s">
        <v>8</v>
      </c>
      <c r="D377" s="10">
        <v>44125</v>
      </c>
      <c r="E377" s="10" t="str">
        <f t="shared" si="10"/>
        <v>2020</v>
      </c>
      <c r="F377" s="10">
        <v>44823</v>
      </c>
      <c r="G377" s="9">
        <v>2</v>
      </c>
      <c r="H377" s="9">
        <v>4</v>
      </c>
      <c r="I377" s="9">
        <v>2</v>
      </c>
      <c r="J377" s="9" t="s">
        <v>14</v>
      </c>
      <c r="K377" s="11" t="s">
        <v>10</v>
      </c>
      <c r="L377" t="str">
        <f t="shared" si="11"/>
        <v>10+ Years</v>
      </c>
      <c r="O377" s="1"/>
      <c r="P377" s="6"/>
      <c r="Q377" s="7"/>
      <c r="T377"/>
      <c r="U377"/>
      <c r="Y377"/>
      <c r="Z377"/>
      <c r="AA377"/>
    </row>
    <row r="378" spans="2:27" x14ac:dyDescent="0.3">
      <c r="B378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HCP_PDA2021NORTHEAST14014</v>
      </c>
      <c r="C378" s="9" t="s">
        <v>17</v>
      </c>
      <c r="D378" s="10">
        <v>44418</v>
      </c>
      <c r="E378" s="10" t="str">
        <f t="shared" si="10"/>
        <v>2021</v>
      </c>
      <c r="F378" s="10">
        <v>44827</v>
      </c>
      <c r="G378" s="9">
        <v>1</v>
      </c>
      <c r="H378" s="9">
        <v>40</v>
      </c>
      <c r="I378" s="9">
        <v>14</v>
      </c>
      <c r="J378" s="9" t="s">
        <v>15</v>
      </c>
      <c r="K378" s="11" t="s">
        <v>10</v>
      </c>
      <c r="L378" t="str">
        <f t="shared" si="11"/>
        <v>1-3 Years</v>
      </c>
      <c r="O378" s="1"/>
      <c r="P378" s="6"/>
      <c r="Q378" s="7"/>
      <c r="T378"/>
      <c r="U378"/>
      <c r="Y378"/>
      <c r="Z378"/>
      <c r="AA378"/>
    </row>
    <row r="379" spans="2:27" x14ac:dyDescent="0.3">
      <c r="B37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HCP_AI2021MIDWEST14320</v>
      </c>
      <c r="C379" s="9" t="s">
        <v>8</v>
      </c>
      <c r="D379" s="10">
        <v>44411</v>
      </c>
      <c r="E379" s="10" t="str">
        <f t="shared" si="10"/>
        <v>2021</v>
      </c>
      <c r="F379" s="10">
        <v>44825</v>
      </c>
      <c r="G379" s="9">
        <v>1</v>
      </c>
      <c r="H379" s="9">
        <v>43</v>
      </c>
      <c r="I379" s="9">
        <v>20</v>
      </c>
      <c r="J379" s="9" t="s">
        <v>13</v>
      </c>
      <c r="K379" s="11" t="s">
        <v>10</v>
      </c>
      <c r="L379" t="str">
        <f t="shared" si="11"/>
        <v>10+ Years</v>
      </c>
      <c r="O379" s="1"/>
      <c r="P379" s="6"/>
      <c r="Q379" s="7"/>
      <c r="T379"/>
      <c r="U379"/>
      <c r="Y379"/>
      <c r="Z379"/>
      <c r="AA379"/>
    </row>
    <row r="380" spans="2:27" x14ac:dyDescent="0.3">
      <c r="B380" s="8" t="str">
        <f>"HCP_"&amp;Table1[[#This Row],[Specialty]]&amp;Table1[[#This Row],[Rx_Start_Year]]&amp;Table1[[#This Row],[Area Name]]&amp;Table1[[#This Row],[Enrollments]]&amp;Table1[[#This Row],[NPS]]&amp;Table1[[#This Row],[Discontinuations]]</f>
        <v>HCP_PPR2021CENTRAL11714</v>
      </c>
      <c r="C380" s="9" t="s">
        <v>25</v>
      </c>
      <c r="D380" s="10">
        <v>44392</v>
      </c>
      <c r="E380" s="10" t="str">
        <f t="shared" si="10"/>
        <v>2021</v>
      </c>
      <c r="F380" s="10">
        <v>44788</v>
      </c>
      <c r="G380" s="9">
        <v>1</v>
      </c>
      <c r="H380" s="9">
        <v>17</v>
      </c>
      <c r="I380" s="9">
        <v>14</v>
      </c>
      <c r="J380" s="9" t="s">
        <v>14</v>
      </c>
      <c r="K380" s="11" t="s">
        <v>10</v>
      </c>
      <c r="L380" t="str">
        <f t="shared" si="11"/>
        <v>10+ Years</v>
      </c>
      <c r="O380" s="1"/>
      <c r="P380" s="6"/>
      <c r="Q380" s="7"/>
      <c r="T380"/>
      <c r="U380"/>
      <c r="Y380"/>
      <c r="Z380"/>
      <c r="AA380"/>
    </row>
    <row r="381" spans="2:27" x14ac:dyDescent="0.3">
      <c r="B381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HCP_AI2021MIDWEST13118</v>
      </c>
      <c r="C381" s="9" t="s">
        <v>8</v>
      </c>
      <c r="D381" s="10">
        <v>44370</v>
      </c>
      <c r="E381" s="10" t="str">
        <f t="shared" si="10"/>
        <v>2021</v>
      </c>
      <c r="F381" s="10">
        <v>44824</v>
      </c>
      <c r="G381" s="9">
        <v>1</v>
      </c>
      <c r="H381" s="9">
        <v>31</v>
      </c>
      <c r="I381" s="9">
        <v>18</v>
      </c>
      <c r="J381" s="9" t="s">
        <v>13</v>
      </c>
      <c r="K381" s="11" t="s">
        <v>10</v>
      </c>
      <c r="L381" t="str">
        <f t="shared" si="11"/>
        <v>10+ Years</v>
      </c>
      <c r="O381" s="1"/>
      <c r="P381" s="6"/>
      <c r="Q381" s="7"/>
      <c r="T381"/>
      <c r="U381"/>
      <c r="Y381"/>
      <c r="Z381"/>
      <c r="AA381"/>
    </row>
    <row r="382" spans="2:27" x14ac:dyDescent="0.3">
      <c r="B382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HCP_AI2021SOUTHEAST1377</v>
      </c>
      <c r="C382" s="9" t="s">
        <v>8</v>
      </c>
      <c r="D382" s="10">
        <v>44354</v>
      </c>
      <c r="E382" s="10" t="str">
        <f t="shared" si="10"/>
        <v>2021</v>
      </c>
      <c r="F382" s="10">
        <v>44797</v>
      </c>
      <c r="G382" s="9">
        <v>1</v>
      </c>
      <c r="H382" s="9">
        <v>37</v>
      </c>
      <c r="I382" s="9">
        <v>7</v>
      </c>
      <c r="J382" s="9" t="s">
        <v>19</v>
      </c>
      <c r="K382" s="11" t="s">
        <v>10</v>
      </c>
      <c r="L382" t="str">
        <f t="shared" si="11"/>
        <v>10+ Years</v>
      </c>
      <c r="O382" s="1"/>
      <c r="P382" s="6"/>
      <c r="Q382" s="7"/>
      <c r="T382"/>
      <c r="U382"/>
      <c r="Y382"/>
      <c r="Z382"/>
      <c r="AA382"/>
    </row>
    <row r="383" spans="2:27" x14ac:dyDescent="0.3">
      <c r="B383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HCP_PDA2021MIDWEST1489</v>
      </c>
      <c r="C383" s="9" t="s">
        <v>17</v>
      </c>
      <c r="D383" s="10">
        <v>44354</v>
      </c>
      <c r="E383" s="10" t="str">
        <f t="shared" si="10"/>
        <v>2021</v>
      </c>
      <c r="F383" s="10">
        <v>44783</v>
      </c>
      <c r="G383" s="9">
        <v>1</v>
      </c>
      <c r="H383" s="9">
        <v>48</v>
      </c>
      <c r="I383" s="9">
        <v>9</v>
      </c>
      <c r="J383" s="9" t="s">
        <v>13</v>
      </c>
      <c r="K383" s="11" t="s">
        <v>10</v>
      </c>
      <c r="L383" t="str">
        <f t="shared" si="11"/>
        <v>5-10 Years</v>
      </c>
      <c r="O383" s="1"/>
      <c r="P383" s="6"/>
      <c r="Q383" s="7"/>
      <c r="T383"/>
      <c r="U383"/>
      <c r="Y383"/>
      <c r="Z383"/>
      <c r="AA383"/>
    </row>
    <row r="384" spans="2:27" x14ac:dyDescent="0.3">
      <c r="B384" s="8" t="str">
        <f>"HCP_"&amp;Table1[[#This Row],[Specialty]]&amp;Table1[[#This Row],[Rx_Start_Year]]&amp;Table1[[#This Row],[Area Name]]&amp;Table1[[#This Row],[Enrollments]]&amp;Table1[[#This Row],[NPS]]&amp;Table1[[#This Row],[Discontinuations]]</f>
        <v>HCP_D2021WEST14823</v>
      </c>
      <c r="C384" s="9" t="s">
        <v>26</v>
      </c>
      <c r="D384" s="10">
        <v>44235</v>
      </c>
      <c r="E384" s="10" t="str">
        <f t="shared" si="10"/>
        <v>2021</v>
      </c>
      <c r="F384" s="10">
        <v>44522</v>
      </c>
      <c r="G384" s="9">
        <v>1</v>
      </c>
      <c r="H384" s="9">
        <v>48</v>
      </c>
      <c r="I384" s="9">
        <v>23</v>
      </c>
      <c r="J384" s="9" t="s">
        <v>9</v>
      </c>
      <c r="K384" s="11" t="s">
        <v>16</v>
      </c>
      <c r="L384" t="str">
        <f t="shared" si="11"/>
        <v>5-10 Years</v>
      </c>
      <c r="O384" s="1"/>
      <c r="P384" s="6"/>
      <c r="Q384" s="7"/>
      <c r="T384"/>
      <c r="U384"/>
      <c r="Y384"/>
      <c r="Z384"/>
      <c r="AA384"/>
    </row>
    <row r="385" spans="2:27" x14ac:dyDescent="0.3">
      <c r="B385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HCP_AI2020SOUTHEAST1311</v>
      </c>
      <c r="C385" s="9" t="s">
        <v>8</v>
      </c>
      <c r="D385" s="10">
        <v>44048</v>
      </c>
      <c r="E385" s="10" t="str">
        <f t="shared" si="10"/>
        <v>2020</v>
      </c>
      <c r="F385" s="10">
        <v>44825</v>
      </c>
      <c r="G385" s="9">
        <v>1</v>
      </c>
      <c r="H385" s="9">
        <v>3</v>
      </c>
      <c r="I385" s="9">
        <v>11</v>
      </c>
      <c r="J385" s="9" t="s">
        <v>19</v>
      </c>
      <c r="K385" s="11" t="s">
        <v>10</v>
      </c>
      <c r="L385" t="str">
        <f t="shared" si="11"/>
        <v>10+ Years</v>
      </c>
      <c r="O385" s="1"/>
      <c r="P385" s="6"/>
      <c r="Q385" s="7"/>
      <c r="T385"/>
      <c r="U385"/>
      <c r="Y385"/>
      <c r="Z385"/>
      <c r="AA385"/>
    </row>
    <row r="386" spans="2:27" x14ac:dyDescent="0.3">
      <c r="B386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HCP_AI2021CENTRAL02530</v>
      </c>
      <c r="C386" s="9" t="s">
        <v>8</v>
      </c>
      <c r="D386" s="10">
        <v>44543</v>
      </c>
      <c r="E386" s="10" t="str">
        <f t="shared" ref="E386:E393" si="12">TEXT(D386,"yyyy")</f>
        <v>2021</v>
      </c>
      <c r="F386" s="10">
        <v>44823</v>
      </c>
      <c r="G386" s="9">
        <v>0</v>
      </c>
      <c r="H386" s="9">
        <v>25</v>
      </c>
      <c r="I386" s="9">
        <v>30</v>
      </c>
      <c r="J386" s="9" t="s">
        <v>14</v>
      </c>
      <c r="K386" s="11" t="s">
        <v>16</v>
      </c>
      <c r="L386" t="str">
        <f t="shared" ref="L386:L393" si="13">IF(I385&lt;=1,"0-1 Years",
IF(I385&lt;=3,"1-3 Years",
IF(I385&lt;=5,"3-5 Years",
IF(I385&lt;=10,"5-10 Years",
"10+ Years"))))</f>
        <v>10+ Years</v>
      </c>
      <c r="O386" s="1"/>
      <c r="P386" s="6"/>
      <c r="Q386" s="7"/>
      <c r="T386"/>
      <c r="U386"/>
      <c r="Y386"/>
      <c r="Z386"/>
      <c r="AA386"/>
    </row>
    <row r="387" spans="2:27" x14ac:dyDescent="0.3">
      <c r="B387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HCP_AI2021MIDWEST02826</v>
      </c>
      <c r="C387" s="9" t="s">
        <v>8</v>
      </c>
      <c r="D387" s="10">
        <v>44510</v>
      </c>
      <c r="E387" s="10" t="str">
        <f t="shared" si="12"/>
        <v>2021</v>
      </c>
      <c r="F387" s="10">
        <v>44818</v>
      </c>
      <c r="G387" s="9">
        <v>0</v>
      </c>
      <c r="H387" s="9">
        <v>28</v>
      </c>
      <c r="I387" s="9">
        <v>26</v>
      </c>
      <c r="J387" s="9" t="s">
        <v>13</v>
      </c>
      <c r="K387" s="11" t="s">
        <v>10</v>
      </c>
      <c r="L387" t="str">
        <f t="shared" si="13"/>
        <v>10+ Years</v>
      </c>
      <c r="O387" s="1"/>
      <c r="P387" s="6"/>
      <c r="Q387" s="7"/>
      <c r="T387"/>
      <c r="U387"/>
      <c r="Y387"/>
      <c r="Z387"/>
      <c r="AA387"/>
    </row>
    <row r="388" spans="2:27" x14ac:dyDescent="0.3">
      <c r="B388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HCP_AI2021MIDWEST03127</v>
      </c>
      <c r="C388" s="9" t="s">
        <v>8</v>
      </c>
      <c r="D388" s="10">
        <v>44286</v>
      </c>
      <c r="E388" s="10" t="str">
        <f t="shared" si="12"/>
        <v>2021</v>
      </c>
      <c r="F388" s="10">
        <v>44823</v>
      </c>
      <c r="G388" s="9">
        <v>0</v>
      </c>
      <c r="H388" s="9">
        <v>31</v>
      </c>
      <c r="I388" s="9">
        <v>27</v>
      </c>
      <c r="J388" s="9" t="s">
        <v>13</v>
      </c>
      <c r="K388" s="11" t="s">
        <v>10</v>
      </c>
      <c r="L388" t="str">
        <f t="shared" si="13"/>
        <v>10+ Years</v>
      </c>
      <c r="O388" s="1"/>
      <c r="P388" s="6"/>
      <c r="Q388" s="7"/>
      <c r="T388"/>
      <c r="U388"/>
      <c r="Y388"/>
      <c r="Z388"/>
      <c r="AA388"/>
    </row>
    <row r="389" spans="2:27" x14ac:dyDescent="0.3">
      <c r="B389" s="8" t="str">
        <f>"HCP_"&amp;Table1[[#This Row],[Specialty]]&amp;Table1[[#This Row],[Rx_Start_Year]]&amp;Table1[[#This Row],[Area Name]]&amp;Table1[[#This Row],[Enrollments]]&amp;Table1[[#This Row],[NPS]]&amp;Table1[[#This Row],[Discontinuations]]</f>
        <v>HCP_AI2021MIDWEST04820</v>
      </c>
      <c r="C389" s="9" t="s">
        <v>8</v>
      </c>
      <c r="D389" s="10">
        <v>44231</v>
      </c>
      <c r="E389" s="10" t="str">
        <f t="shared" si="12"/>
        <v>2021</v>
      </c>
      <c r="F389" s="10">
        <v>44824</v>
      </c>
      <c r="G389" s="9">
        <v>0</v>
      </c>
      <c r="H389" s="9">
        <v>48</v>
      </c>
      <c r="I389" s="9">
        <v>20</v>
      </c>
      <c r="J389" s="9" t="s">
        <v>13</v>
      </c>
      <c r="K389" s="11" t="s">
        <v>10</v>
      </c>
      <c r="L389" t="str">
        <f t="shared" si="13"/>
        <v>10+ Years</v>
      </c>
      <c r="O389" s="1"/>
      <c r="P389" s="6"/>
      <c r="Q389" s="7"/>
      <c r="T389"/>
      <c r="U389"/>
      <c r="Y389"/>
      <c r="Z389"/>
      <c r="AA389"/>
    </row>
    <row r="390" spans="2:27" x14ac:dyDescent="0.3">
      <c r="B390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HCP_PDA2020NORTHEAST0626</v>
      </c>
      <c r="C390" s="9" t="s">
        <v>17</v>
      </c>
      <c r="D390" s="10">
        <v>44069</v>
      </c>
      <c r="E390" s="10" t="str">
        <f t="shared" si="12"/>
        <v>2020</v>
      </c>
      <c r="F390" s="10">
        <v>44151</v>
      </c>
      <c r="G390" s="9">
        <v>0</v>
      </c>
      <c r="H390" s="9">
        <v>6</v>
      </c>
      <c r="I390" s="9">
        <v>26</v>
      </c>
      <c r="J390" s="9" t="s">
        <v>15</v>
      </c>
      <c r="K390" s="11" t="s">
        <v>16</v>
      </c>
      <c r="L390" t="str">
        <f t="shared" si="13"/>
        <v>10+ Years</v>
      </c>
      <c r="O390" s="1"/>
      <c r="P390" s="6"/>
      <c r="Q390" s="7"/>
      <c r="T390"/>
      <c r="U390"/>
      <c r="Y390"/>
      <c r="Z390"/>
      <c r="AA390"/>
    </row>
    <row r="391" spans="2:27" x14ac:dyDescent="0.3">
      <c r="B391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HCP_PDA2020NORTHEAST02518</v>
      </c>
      <c r="C391" s="9" t="s">
        <v>17</v>
      </c>
      <c r="D391" s="10">
        <v>44060</v>
      </c>
      <c r="E391" s="10" t="str">
        <f t="shared" si="12"/>
        <v>2020</v>
      </c>
      <c r="F391" s="10">
        <v>44818</v>
      </c>
      <c r="G391" s="9">
        <v>0</v>
      </c>
      <c r="H391" s="9">
        <v>25</v>
      </c>
      <c r="I391" s="9">
        <v>18</v>
      </c>
      <c r="J391" s="9" t="s">
        <v>15</v>
      </c>
      <c r="K391" s="11" t="s">
        <v>10</v>
      </c>
      <c r="L391" t="str">
        <f t="shared" si="13"/>
        <v>10+ Years</v>
      </c>
      <c r="O391" s="1"/>
      <c r="P391" s="6"/>
      <c r="Q391" s="7"/>
      <c r="T391"/>
      <c r="U391"/>
      <c r="Y391"/>
      <c r="Z391"/>
      <c r="AA391"/>
    </row>
    <row r="392" spans="2:27" x14ac:dyDescent="0.3">
      <c r="B392" s="8" t="str">
        <f>"HCP_"&amp;Table1[[#This Row],[Specialty]]&amp;Table1[[#This Row],[Rx_Start_Year]]&amp;Table1[[#This Row],[Area Name]]&amp;Table1[[#This Row],[Enrollments]]&amp;Table1[[#This Row],[NPS]]&amp;Table1[[#This Row],[Discontinuations]]</f>
        <v>HCP_PDA2020MIDWEST0409</v>
      </c>
      <c r="C392" s="9" t="s">
        <v>17</v>
      </c>
      <c r="D392" s="10">
        <v>44004</v>
      </c>
      <c r="E392" s="10" t="str">
        <f t="shared" si="12"/>
        <v>2020</v>
      </c>
      <c r="F392" s="10">
        <v>44370</v>
      </c>
      <c r="G392" s="9">
        <v>0</v>
      </c>
      <c r="H392" s="9">
        <v>40</v>
      </c>
      <c r="I392" s="9">
        <v>9</v>
      </c>
      <c r="J392" s="9" t="s">
        <v>13</v>
      </c>
      <c r="K392" s="11" t="s">
        <v>16</v>
      </c>
      <c r="L392" t="str">
        <f t="shared" si="13"/>
        <v>10+ Years</v>
      </c>
      <c r="O392" s="1"/>
      <c r="P392" s="6"/>
      <c r="Q392" s="7"/>
      <c r="T392"/>
      <c r="U392"/>
      <c r="Y392"/>
      <c r="Z392"/>
      <c r="AA392"/>
    </row>
    <row r="393" spans="2:27" x14ac:dyDescent="0.3">
      <c r="B393" s="24" t="str">
        <f>"HCP_"&amp;Table1[[#This Row],[Specialty]]&amp;Table1[[#This Row],[Rx_Start_Year]]&amp;Table1[[#This Row],[Area Name]]&amp;Table1[[#This Row],[Enrollments]]&amp;Table1[[#This Row],[NPS]]&amp;Table1[[#This Row],[Discontinuations]]</f>
        <v>HCP_PD2020MIDWEST0021</v>
      </c>
      <c r="C393" s="12" t="s">
        <v>20</v>
      </c>
      <c r="D393" s="13">
        <v>43999</v>
      </c>
      <c r="E393" s="13" t="str">
        <f t="shared" si="12"/>
        <v>2020</v>
      </c>
      <c r="F393" s="13">
        <v>44825</v>
      </c>
      <c r="G393" s="9">
        <v>0</v>
      </c>
      <c r="H393" s="9">
        <v>0</v>
      </c>
      <c r="I393" s="9">
        <v>21</v>
      </c>
      <c r="J393" s="9" t="s">
        <v>13</v>
      </c>
      <c r="K393" s="14" t="s">
        <v>10</v>
      </c>
      <c r="L393" t="str">
        <f t="shared" si="13"/>
        <v>5-10 Years</v>
      </c>
      <c r="O393" s="1"/>
      <c r="P393" s="6"/>
      <c r="Q393" s="7"/>
      <c r="T393"/>
      <c r="U393"/>
      <c r="Y393"/>
      <c r="Z393"/>
      <c r="AA393"/>
    </row>
  </sheetData>
  <conditionalFormatting sqref="B2:B393">
    <cfRule type="duplicateValues" dxfId="30" priority="16"/>
    <cfRule type="duplicateValues" dxfId="29" priority="17"/>
    <cfRule type="duplicateValues" dxfId="28" priority="18"/>
  </conditionalFormatting>
  <conditionalFormatting sqref="B1:B393">
    <cfRule type="duplicateValues" dxfId="27" priority="19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A3" sqref="A3"/>
    </sheetView>
  </sheetViews>
  <sheetFormatPr defaultRowHeight="14.4" x14ac:dyDescent="0.3"/>
  <cols>
    <col min="1" max="1" width="12.33203125" bestFit="1" customWidth="1"/>
    <col min="2" max="2" width="17.33203125" bestFit="1" customWidth="1"/>
  </cols>
  <sheetData>
    <row r="3" spans="1:2" x14ac:dyDescent="0.3">
      <c r="A3" s="22" t="s">
        <v>0</v>
      </c>
      <c r="B3" t="s">
        <v>58</v>
      </c>
    </row>
    <row r="4" spans="1:2" x14ac:dyDescent="0.3">
      <c r="A4" s="26" t="s">
        <v>8</v>
      </c>
      <c r="B4" s="27">
        <v>10243</v>
      </c>
    </row>
    <row r="5" spans="1:2" x14ac:dyDescent="0.3">
      <c r="A5" s="26" t="s">
        <v>17</v>
      </c>
      <c r="B5" s="27">
        <v>1893</v>
      </c>
    </row>
    <row r="6" spans="1:2" x14ac:dyDescent="0.3">
      <c r="A6" s="26" t="s">
        <v>20</v>
      </c>
      <c r="B6" s="27">
        <v>413</v>
      </c>
    </row>
    <row r="7" spans="1:2" x14ac:dyDescent="0.3">
      <c r="A7" s="26" t="s">
        <v>12</v>
      </c>
      <c r="B7" s="27">
        <v>392</v>
      </c>
    </row>
    <row r="8" spans="1:2" x14ac:dyDescent="0.3">
      <c r="A8" s="26" t="s">
        <v>18</v>
      </c>
      <c r="B8" s="27">
        <v>331</v>
      </c>
    </row>
    <row r="9" spans="1:2" x14ac:dyDescent="0.3">
      <c r="A9" s="20" t="s">
        <v>41</v>
      </c>
      <c r="B9" s="25">
        <v>13272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K29" sqref="K29"/>
    </sheetView>
  </sheetViews>
  <sheetFormatPr defaultRowHeight="14.4" x14ac:dyDescent="0.3"/>
  <cols>
    <col min="1" max="1" width="20.44140625" bestFit="1" customWidth="1"/>
    <col min="2" max="2" width="10.77734375" bestFit="1" customWidth="1"/>
  </cols>
  <sheetData>
    <row r="3" spans="1:2" x14ac:dyDescent="0.3">
      <c r="A3" s="22" t="s">
        <v>42</v>
      </c>
      <c r="B3" t="s">
        <v>48</v>
      </c>
    </row>
    <row r="4" spans="1:2" x14ac:dyDescent="0.3">
      <c r="A4" s="20" t="s">
        <v>43</v>
      </c>
      <c r="B4" s="25">
        <v>24</v>
      </c>
    </row>
    <row r="5" spans="1:2" x14ac:dyDescent="0.3">
      <c r="A5" s="20" t="s">
        <v>45</v>
      </c>
      <c r="B5" s="25">
        <v>32</v>
      </c>
    </row>
    <row r="6" spans="1:2" x14ac:dyDescent="0.3">
      <c r="A6" s="20" t="s">
        <v>46</v>
      </c>
      <c r="B6" s="25">
        <v>20</v>
      </c>
    </row>
    <row r="7" spans="1:2" x14ac:dyDescent="0.3">
      <c r="A7" s="20" t="s">
        <v>47</v>
      </c>
      <c r="B7" s="25">
        <v>59</v>
      </c>
    </row>
    <row r="8" spans="1:2" x14ac:dyDescent="0.3">
      <c r="A8" s="20" t="s">
        <v>44</v>
      </c>
      <c r="B8" s="25">
        <v>257</v>
      </c>
    </row>
    <row r="9" spans="1:2" x14ac:dyDescent="0.3">
      <c r="A9" s="20" t="s">
        <v>41</v>
      </c>
      <c r="B9" s="25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7" sqref="B7"/>
    </sheetView>
  </sheetViews>
  <sheetFormatPr defaultRowHeight="14.4" x14ac:dyDescent="0.3"/>
  <cols>
    <col min="1" max="1" width="19.33203125" bestFit="1" customWidth="1"/>
    <col min="2" max="2" width="20.44140625" bestFit="1" customWidth="1"/>
  </cols>
  <sheetData>
    <row r="3" spans="1:2" x14ac:dyDescent="0.3">
      <c r="A3" s="22" t="s">
        <v>50</v>
      </c>
      <c r="B3" t="s">
        <v>49</v>
      </c>
    </row>
    <row r="4" spans="1:2" x14ac:dyDescent="0.3">
      <c r="A4" s="20" t="s">
        <v>43</v>
      </c>
      <c r="B4" s="25">
        <v>32.666666666666664</v>
      </c>
    </row>
    <row r="5" spans="1:2" x14ac:dyDescent="0.3">
      <c r="A5" s="20" t="s">
        <v>45</v>
      </c>
      <c r="B5" s="25">
        <v>38.625</v>
      </c>
    </row>
    <row r="6" spans="1:2" x14ac:dyDescent="0.3">
      <c r="A6" s="20" t="s">
        <v>46</v>
      </c>
      <c r="B6" s="25">
        <v>35.6</v>
      </c>
    </row>
    <row r="7" spans="1:2" x14ac:dyDescent="0.3">
      <c r="A7" s="20" t="s">
        <v>47</v>
      </c>
      <c r="B7" s="25">
        <v>40.83050847457627</v>
      </c>
    </row>
    <row r="8" spans="1:2" x14ac:dyDescent="0.3">
      <c r="A8" s="20" t="s">
        <v>44</v>
      </c>
      <c r="B8" s="25">
        <v>34.4863813229572</v>
      </c>
    </row>
    <row r="9" spans="1:2" x14ac:dyDescent="0.3">
      <c r="A9" s="20" t="s">
        <v>41</v>
      </c>
      <c r="B9" s="25">
        <v>35.724489795918366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"/>
    </sheetView>
  </sheetViews>
  <sheetFormatPr defaultRowHeight="14.4" x14ac:dyDescent="0.3"/>
  <cols>
    <col min="1" max="1" width="16.77734375" style="28" customWidth="1"/>
    <col min="2" max="2" width="21" style="28" customWidth="1"/>
  </cols>
  <sheetData>
    <row r="1" spans="1:2" ht="15" thickBot="1" x14ac:dyDescent="0.35">
      <c r="A1" s="31" t="s">
        <v>56</v>
      </c>
      <c r="B1" s="32" t="s">
        <v>57</v>
      </c>
    </row>
    <row r="2" spans="1:2" x14ac:dyDescent="0.3">
      <c r="A2" s="29">
        <v>2021</v>
      </c>
      <c r="B2" s="33">
        <f>IFERROR(
 AVERAGEIFS(
  'Avg_Patients  &amp; Dispenses'!H:H,
  'Avg_Patients  &amp; Dispenses'!D:D, "&gt;="&amp;DATE(2021,1,1),
  'Avg_Patients  &amp; Dispenses'!D:D, "&lt;="&amp;DATE(2021,12,31)
 ),
 "No data"
)</f>
        <v>24.671568627450981</v>
      </c>
    </row>
    <row r="3" spans="1:2" ht="15" thickBot="1" x14ac:dyDescent="0.35">
      <c r="A3" s="30">
        <v>2022</v>
      </c>
      <c r="B3" s="34">
        <f>IFERROR(
 AVERAGEIFS(
  'Avg_Patients  &amp; Dispenses'!H:H,
  'Avg_Patients  &amp; Dispenses'!D:D, "&gt;="&amp;DATE(2022,1,1),
  'Avg_Patients  &amp; Dispenses'!D:D, "&lt;="&amp;DATE(2022,12,31)
 ),
 "No data"
)</f>
        <v>26.578947368421051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3" sqref="A3"/>
    </sheetView>
  </sheetViews>
  <sheetFormatPr defaultRowHeight="14.4" x14ac:dyDescent="0.3"/>
  <cols>
    <col min="1" max="3" width="18.5546875" customWidth="1"/>
  </cols>
  <sheetData>
    <row r="1" spans="1:3" x14ac:dyDescent="0.3">
      <c r="A1" s="40" t="s">
        <v>52</v>
      </c>
      <c r="B1" s="41">
        <v>2021</v>
      </c>
      <c r="C1" s="42">
        <v>2022</v>
      </c>
    </row>
    <row r="2" spans="1:3" x14ac:dyDescent="0.3">
      <c r="A2" s="35" t="s">
        <v>53</v>
      </c>
      <c r="B2" s="9">
        <f>COUNTIFS(
 'Avg_Patients  &amp; Dispenses'!D:D, "&gt;="&amp;DATE(2021,1,1),
 'Avg_Patients  &amp; Dispenses'!D:D, "&lt;="&amp;DATE(2021,12,31)
)</f>
        <v>204</v>
      </c>
      <c r="C2" s="36">
        <f>COUNTIFS(
 'Avg_Patients  &amp; Dispenses'!D:D, "&gt;="&amp;DATE(2022,1,1),
 'Avg_Patients  &amp; Dispenses'!D:D, "&lt;="&amp;DATE(2022,12,31)
)</f>
        <v>19</v>
      </c>
    </row>
    <row r="3" spans="1:3" x14ac:dyDescent="0.3">
      <c r="A3" s="35" t="s">
        <v>54</v>
      </c>
      <c r="B3" s="9">
        <f>IFERROR(
 AVERAGEIFS(
  'Avg_Patients  &amp; Dispenses'!G:G,
  'Avg_Patients  &amp; Dispenses'!D:D, "&gt;="&amp;DATE(2021,1,1),
  'Avg_Patients  &amp; Dispenses'!D:D, "&lt;="&amp;DATE(2021,12,31)
 ),
 "No data"
)</f>
        <v>34.299019607843135</v>
      </c>
      <c r="C3" s="36">
        <f>IFERROR(
 AVERAGEIFS(
  'Avg_Patients  &amp; Dispenses'!G:G,
  'Avg_Patients  &amp; Dispenses'!D:D, "&gt;="&amp;DATE(2022,1,1),
  'Avg_Patients  &amp; Dispenses'!D:D, "&lt;="&amp;DATE(2022,12,31)
 ),
 "No data"
)</f>
        <v>39.789473684210527</v>
      </c>
    </row>
    <row r="4" spans="1:3" ht="15" thickBot="1" x14ac:dyDescent="0.35">
      <c r="A4" s="37" t="s">
        <v>55</v>
      </c>
      <c r="B4" s="38">
        <f>IFERROR(
 AVERAGEIFS(
  'Avg_Patients  &amp; Dispenses'!H:H,
  'Avg_Patients  &amp; Dispenses'!D:D, "&gt;="&amp;DATE(2021,1,1),
  'Avg_Patients  &amp; Dispenses'!D:D, "&lt;="&amp;DATE(2021,12,31)
 ),
 "No data"
)</f>
        <v>24.671568627450981</v>
      </c>
      <c r="C4" s="39">
        <f>IFERROR(
 AVERAGEIFS(
  'Avg_Patients  &amp; Dispenses'!H:H,
  'Avg_Patients  &amp; Dispenses'!D:D, "&gt;="&amp;DATE(2022,1,1),
  'Avg_Patients  &amp; Dispenses'!D:D, "&lt;="&amp;DATE(2022,12,31)
 ),
 "No data"
)</f>
        <v>26.578947368421051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 &amp; Solutions</vt:lpstr>
      <vt:lpstr>Avg_Patients  &amp; Dispenses</vt:lpstr>
      <vt:lpstr>Q2_Top_5_Specialties</vt:lpstr>
      <vt:lpstr>Q3_Rx_Duration_Bucket</vt:lpstr>
      <vt:lpstr>Q4_Avg_Enrollment_By_Rx_Bucket</vt:lpstr>
      <vt:lpstr>Q5_Avg_NPS_2021_vs_2022</vt:lpstr>
      <vt:lpstr>Q6_2021_vs_2022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Naik</dc:creator>
  <cp:lastModifiedBy>Rahul</cp:lastModifiedBy>
  <dcterms:created xsi:type="dcterms:W3CDTF">2023-03-10T08:47:24Z</dcterms:created>
  <dcterms:modified xsi:type="dcterms:W3CDTF">2026-01-13T07:45:33Z</dcterms:modified>
</cp:coreProperties>
</file>